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4"/>
    <sheet state="visible" name="Amostra Mínima" sheetId="2" r:id="rId5"/>
    <sheet state="visible" name="Intervalo_Confianca" sheetId="3" r:id="rId6"/>
    <sheet state="visible" name="Outliers" sheetId="4" r:id="rId7"/>
    <sheet state="visible" name="Dados_sem_outliers" sheetId="5" r:id="rId8"/>
    <sheet state="visible" name="Estatisticas" sheetId="6" r:id="rId9"/>
    <sheet state="visible" name="Comparativo" sheetId="7" r:id="rId10"/>
    <sheet state="visible" name="Performance" sheetId="8" r:id="rId11"/>
  </sheets>
  <definedNames>
    <definedName name="virtual_limite_heap">Outliers!$F$14</definedName>
    <definedName name="virtual_limite_memoria">Outliers!$B$14</definedName>
    <definedName name="tradicional_limite_memoria">Outliers!$C$14</definedName>
    <definedName name="tradicional_limite_heap">Outliers!$G$14</definedName>
    <definedName name="tradicional_limite_lat_mean_s">Outliers!$C$6</definedName>
    <definedName name="virtual_limite_superior_cpu">Outliers!$F$6</definedName>
    <definedName name="tradicional_limite_inferior_cpu">Outliers!$G$5</definedName>
    <definedName name="tradicional_limite_superior_cpu">Outliers!$G$6</definedName>
    <definedName name="virtual_limite_lat_mean_s">Outliers!$B$6</definedName>
    <definedName name="virtual_limite_inferior_cpu">Outliers!$F$5</definedName>
  </definedNames>
  <calcPr/>
</workbook>
</file>

<file path=xl/sharedStrings.xml><?xml version="1.0" encoding="utf-8"?>
<sst xmlns="http://schemas.openxmlformats.org/spreadsheetml/2006/main" count="277" uniqueCount="74">
  <si>
    <t>run</t>
  </si>
  <si>
    <t>lat_mean_s</t>
  </si>
  <si>
    <t>lat_p50_s</t>
  </si>
  <si>
    <t>lat_p90_s</t>
  </si>
  <si>
    <t>lat_p95_s</t>
  </si>
  <si>
    <t>lat_p99_s</t>
  </si>
  <si>
    <t>lat_max_s</t>
  </si>
  <si>
    <t>requests</t>
  </si>
  <si>
    <t>rate</t>
  </si>
  <si>
    <t>throughput</t>
  </si>
  <si>
    <t>success</t>
  </si>
  <si>
    <t>bytes_in_total</t>
  </si>
  <si>
    <t>cpu_mean</t>
  </si>
  <si>
    <t>mem_used_mb</t>
  </si>
  <si>
    <t>heap_used_mb</t>
  </si>
  <si>
    <t xml:space="preserve">Outlier
</t>
  </si>
  <si>
    <t>outlier</t>
  </si>
  <si>
    <t>Metricas</t>
  </si>
  <si>
    <t>Virtual</t>
  </si>
  <si>
    <t>Tradicional</t>
  </si>
  <si>
    <t>Tamanho da Amostra</t>
  </si>
  <si>
    <t>Valor critico</t>
  </si>
  <si>
    <t>Desvio padrão</t>
  </si>
  <si>
    <t>Margem de Erro</t>
  </si>
  <si>
    <t>Resultado</t>
  </si>
  <si>
    <t>EndPoint</t>
  </si>
  <si>
    <t>Métrica</t>
  </si>
  <si>
    <t xml:space="preserve"> mem_used_mb  </t>
  </si>
  <si>
    <t>Execuções</t>
  </si>
  <si>
    <t>Graus de liberdade</t>
  </si>
  <si>
    <t>Valor crítico t</t>
  </si>
  <si>
    <t>Erro padrão da média</t>
  </si>
  <si>
    <t>Margem de erro</t>
  </si>
  <si>
    <t>IC_inferior</t>
  </si>
  <si>
    <t>IC_superior</t>
  </si>
  <si>
    <t>Metrica</t>
  </si>
  <si>
    <t>Largura_95</t>
  </si>
  <si>
    <t>virtual</t>
  </si>
  <si>
    <t>tradicional</t>
  </si>
  <si>
    <t>Q1</t>
  </si>
  <si>
    <t>Q3</t>
  </si>
  <si>
    <t>IQR</t>
  </si>
  <si>
    <t>Limite inferior</t>
  </si>
  <si>
    <t>Limite superior</t>
  </si>
  <si>
    <t>lat_mean_s_virtual</t>
  </si>
  <si>
    <t>lat_mean_s_tradicional</t>
  </si>
  <si>
    <t>Média</t>
  </si>
  <si>
    <t>Mediana</t>
  </si>
  <si>
    <t>Mínimo</t>
  </si>
  <si>
    <t>Máximo</t>
  </si>
  <si>
    <t>Desvio Padrão</t>
  </si>
  <si>
    <t>Tradicional/Virtual</t>
  </si>
  <si>
    <t>Latência Média</t>
  </si>
  <si>
    <t>CPU</t>
  </si>
  <si>
    <t>Memória mb</t>
  </si>
  <si>
    <t>Heap mb</t>
  </si>
  <si>
    <t>Taxa De Sucesso</t>
  </si>
  <si>
    <t>Throughput médio</t>
  </si>
  <si>
    <t>Indicador</t>
  </si>
  <si>
    <t>Virtual_Sem_Outilers</t>
  </si>
  <si>
    <t>Tradicional_Sem_Outliers</t>
  </si>
  <si>
    <t>Rate médio</t>
  </si>
  <si>
    <t>Total de requisições</t>
  </si>
  <si>
    <t>Latência média geral</t>
  </si>
  <si>
    <t>Pior latência observada</t>
  </si>
  <si>
    <t>Taxa de sucesso (%)</t>
  </si>
  <si>
    <t>Latência mediana (P50)</t>
  </si>
  <si>
    <t>Latência 90% (P90)</t>
  </si>
  <si>
    <t>Latência 95% (P95)</t>
  </si>
  <si>
    <t>Latência 99% (P99)</t>
  </si>
  <si>
    <t>CPU média (%)</t>
  </si>
  <si>
    <t>Memória usada média (MB)</t>
  </si>
  <si>
    <t>Heap usado médio (MB)</t>
  </si>
  <si>
    <t>Latência mínima observada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</si>
</sst>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.0000"/>
    <numFmt numFmtId="165" formatCode="#,##0.0"/>
    <numFmt numFmtId="166" formatCode="0.0000%"/>
    <numFmt numFmtId="167" formatCode="0.0000"/>
    <numFmt numFmtId="168" formatCode="0.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3" xfId="0" applyAlignment="1" applyFont="1" applyNumberFormat="1">
      <alignment horizontal="left" readingOrder="0" shrinkToFit="0" vertical="center" wrapText="0"/>
    </xf>
    <xf borderId="0" fillId="0" fontId="1" numFmtId="165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2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3" xfId="0" applyAlignment="1" applyFont="1" applyNumberFormat="1">
      <alignment readingOrder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readingOrder="0" shrinkToFit="0" vertical="center" wrapText="0"/>
    </xf>
    <xf borderId="0" fillId="0" fontId="1" numFmtId="2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readingOrder="0" shrinkToFit="0" vertical="bottom" wrapText="0"/>
    </xf>
    <xf borderId="0" fillId="0" fontId="2" numFmtId="4" xfId="0" applyAlignment="1" applyFont="1" applyNumberFormat="1">
      <alignment shrinkToFit="0" vertical="bottom" wrapText="0"/>
    </xf>
    <xf borderId="0" fillId="0" fontId="2" numFmtId="166" xfId="0" applyAlignment="1" applyFont="1" applyNumberForma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4" xfId="0" applyAlignment="1" applyFont="1" applyNumberForma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Font="1"/>
    <xf borderId="0" fillId="0" fontId="1" numFmtId="167" xfId="0" applyAlignment="1" applyFont="1" applyNumberForma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8" xfId="0" applyAlignment="1" applyFont="1" applyNumberForma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10" xfId="0" applyFont="1" applyNumberFormat="1"/>
    <xf borderId="0" fillId="0" fontId="1" numFmtId="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1" numFmtId="3" xfId="0" applyFont="1" applyNumberFormat="1"/>
    <xf borderId="0" fillId="0" fontId="1" numFmtId="164" xfId="0" applyFont="1" applyNumberFormat="1"/>
    <xf borderId="0" fillId="0" fontId="1" numFmtId="166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1" numFmtId="2" xfId="0" applyFont="1" applyNumberFormat="1"/>
    <xf borderId="0" fillId="0" fontId="1" numFmtId="10" xfId="0" applyAlignment="1" applyFont="1" applyNumberFormat="1">
      <alignment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1" numFmtId="0" xfId="0" applyFont="1"/>
    <xf borderId="0" fillId="0" fontId="1" numFmtId="9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9">
    <tableStyle count="4" pivot="0" name="Dad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do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mostra Mínim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mostra Mínim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mostra Mínima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mostra Mínima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tervalo_Confianc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tervalo_Confianc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tervalo_Confianca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utli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utlier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utlier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utliers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dos_sem_outli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dos_sem_outlier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tistic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tistica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arativ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formanc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Latencia Tradicional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Dados_sem_outliers!$B$39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Dados_sem_outliers!$A$41:$A$72</c:f>
            </c:numRef>
          </c:xVal>
          <c:yVal>
            <c:numRef>
              <c:f>Dados_sem_outliers!$B$40:$B$72</c:f>
              <c:numCache/>
            </c:numRef>
          </c:yVal>
        </c:ser>
        <c:ser>
          <c:idx val="1"/>
          <c:order val="1"/>
          <c:tx>
            <c:strRef>
              <c:f>Dados_sem_outliers!$C$39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Dados_sem_outliers!$A$41:$A$72</c:f>
            </c:numRef>
          </c:xVal>
          <c:yVal>
            <c:numRef>
              <c:f>Dados_sem_outliers!$C$40:$C$72</c:f>
              <c:numCache/>
            </c:numRef>
          </c:yVal>
        </c:ser>
        <c:ser>
          <c:idx val="2"/>
          <c:order val="2"/>
          <c:tx>
            <c:strRef>
              <c:f>Dados_sem_outliers!$E$39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Dados_sem_outliers!$A$41:$A$72</c:f>
            </c:numRef>
          </c:xVal>
          <c:yVal>
            <c:numRef>
              <c:f>Dados_sem_outliers!$E$40:$E$72</c:f>
              <c:numCache/>
            </c:numRef>
          </c:yVal>
        </c:ser>
        <c:ser>
          <c:idx val="3"/>
          <c:order val="3"/>
          <c:tx>
            <c:strRef>
              <c:f>Dados_sem_outliers!$F$39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Dados_sem_outliers!$A$41:$A$72</c:f>
            </c:numRef>
          </c:xVal>
          <c:yVal>
            <c:numRef>
              <c:f>Dados_sem_outliers!$F$40:$F$72</c:f>
              <c:numCache/>
            </c:numRef>
          </c:yVal>
        </c:ser>
        <c:ser>
          <c:idx val="4"/>
          <c:order val="4"/>
          <c:tx>
            <c:strRef>
              <c:f>Dados_sem_outliers!$G$39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Dados_sem_outliers!$A$41:$A$72</c:f>
            </c:numRef>
          </c:xVal>
          <c:yVal>
            <c:numRef>
              <c:f>Dados_sem_outliers!$G$40:$G$72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1893240"/>
        <c:axId val="451719276"/>
      </c:scatterChart>
      <c:valAx>
        <c:axId val="19518932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1719276"/>
      </c:valAx>
      <c:valAx>
        <c:axId val="4517192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518932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Latencia Virtual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Dados_sem_outliers!$B$1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Dados_sem_outliers!$A$41:$A$72</c:f>
            </c:numRef>
          </c:xVal>
          <c:yVal>
            <c:numRef>
              <c:f>Dados_sem_outliers!$B$2:$B$36</c:f>
              <c:numCache/>
            </c:numRef>
          </c:yVal>
        </c:ser>
        <c:ser>
          <c:idx val="1"/>
          <c:order val="1"/>
          <c:tx>
            <c:strRef>
              <c:f>Dados_sem_outliers!$C$1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Dados_sem_outliers!$A$41:$A$72</c:f>
            </c:numRef>
          </c:xVal>
          <c:yVal>
            <c:numRef>
              <c:f>Dados_sem_outliers!$C$2:$C$36</c:f>
              <c:numCache/>
            </c:numRef>
          </c:yVal>
        </c:ser>
        <c:ser>
          <c:idx val="2"/>
          <c:order val="2"/>
          <c:tx>
            <c:strRef>
              <c:f>Dados_sem_outliers!$E$1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Dados_sem_outliers!$A$41:$A$72</c:f>
            </c:numRef>
          </c:xVal>
          <c:yVal>
            <c:numRef>
              <c:f>Dados_sem_outliers!$E$2:$E$36</c:f>
              <c:numCache/>
            </c:numRef>
          </c:yVal>
        </c:ser>
        <c:ser>
          <c:idx val="3"/>
          <c:order val="3"/>
          <c:tx>
            <c:strRef>
              <c:f>Dados_sem_outliers!$F$1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Dados_sem_outliers!$A$41:$A$72</c:f>
            </c:numRef>
          </c:xVal>
          <c:yVal>
            <c:numRef>
              <c:f>Dados_sem_outliers!$F$2:$F$36</c:f>
              <c:numCache/>
            </c:numRef>
          </c:yVal>
        </c:ser>
        <c:ser>
          <c:idx val="4"/>
          <c:order val="4"/>
          <c:tx>
            <c:strRef>
              <c:f>Dados_sem_outliers!$G$1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Dados_sem_outliers!$A$41:$A$72</c:f>
            </c:numRef>
          </c:xVal>
          <c:yVal>
            <c:numRef>
              <c:f>Dados_sem_outliers!$G$2:$G$36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9856527"/>
        <c:axId val="294077839"/>
      </c:scatterChart>
      <c:valAx>
        <c:axId val="16598565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4077839"/>
      </c:valAx>
      <c:valAx>
        <c:axId val="2940778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985652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Latencia Media Tradicional x Virtual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Dados_sem_outliers!$B$39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Dados_sem_outliers!$A$41:$A$72</c:f>
            </c:numRef>
          </c:xVal>
          <c:yVal>
            <c:numRef>
              <c:f>Dados_sem_outliers!$B$40:$B$72</c:f>
              <c:numCache/>
            </c:numRef>
          </c:yVal>
        </c:ser>
        <c:ser>
          <c:idx val="1"/>
          <c:order val="1"/>
          <c:tx>
            <c:strRef>
              <c:f>Dados_sem_outliers!$B$1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Dados_sem_outliers!$A$41:$A$72</c:f>
            </c:numRef>
          </c:xVal>
          <c:yVal>
            <c:numRef>
              <c:f>Dados_sem_outliers!$B$2:$B$36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6264381"/>
        <c:axId val="1129829150"/>
      </c:scatterChart>
      <c:valAx>
        <c:axId val="56626438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9829150"/>
      </c:valAx>
      <c:valAx>
        <c:axId val="11298291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62643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190500</xdr:colOff>
      <xdr:row>73</xdr:row>
      <xdr:rowOff>38100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390525</xdr:colOff>
      <xdr:row>73</xdr:row>
      <xdr:rowOff>38100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190500</xdr:colOff>
      <xdr:row>93</xdr:row>
      <xdr:rowOff>38100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51" displayName="Virtual" name="Virtual" id="1">
  <tableColumns count="16">
    <tableColumn name="run" id="1"/>
    <tableColumn name="lat_mean_s" id="2"/>
    <tableColumn name="lat_p50_s" id="3"/>
    <tableColumn name="lat_p90_s" id="4"/>
    <tableColumn name="lat_p95_s" id="5"/>
    <tableColumn name="lat_p99_s" id="6"/>
    <tableColumn name="lat_max_s" id="7"/>
    <tableColumn name="requests" id="8"/>
    <tableColumn name="rate" id="9"/>
    <tableColumn name="throughput" id="10"/>
    <tableColumn name="success" id="11"/>
    <tableColumn name="bytes_in_total" id="12"/>
    <tableColumn name="cpu_mean" id="13"/>
    <tableColumn name="mem_used_mb" id="14"/>
    <tableColumn name="heap_used_mb" id="15"/>
    <tableColumn name="Outlier_x000a_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ref="A54:P104" displayName="Tradicional" name="Tradicional" id="2">
  <tableColumns count="16">
    <tableColumn name="run" id="1"/>
    <tableColumn name="lat_mean_s" id="2"/>
    <tableColumn name="lat_p50_s" id="3"/>
    <tableColumn name="lat_p90_s" id="4"/>
    <tableColumn name="lat_p95_s" id="5"/>
    <tableColumn name="lat_p99_s" id="6"/>
    <tableColumn name="lat_max_s" id="7"/>
    <tableColumn name="requests" id="8"/>
    <tableColumn name="rate" id="9"/>
    <tableColumn name="throughput" id="10"/>
    <tableColumn name="success" id="11"/>
    <tableColumn name="bytes_in_total" id="12"/>
    <tableColumn name="cpu_mean" id="13"/>
    <tableColumn name="mem_used_mb" id="14"/>
    <tableColumn name="heap_used_mb" id="15"/>
    <tableColumn name="outlier" id="16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ref="A1:C6" displayName="Amostra_MInima_Lat_Mean" name="Amostra_MInima_Lat_Mean" id="3">
  <tableColumns count="3">
    <tableColumn name="Metricas" id="1"/>
    <tableColumn name="Virtual" id="2"/>
    <tableColumn name="Tradicional" id="3"/>
  </tableColumns>
  <tableStyleInfo name="Amostra Mínima-style" showColumnStripes="0" showFirstColumn="1" showLastColumn="1" showRowStripes="1"/>
</table>
</file>

<file path=xl/tables/table4.xml><?xml version="1.0" encoding="utf-8"?>
<table xmlns="http://schemas.openxmlformats.org/spreadsheetml/2006/main" ref="E1:G6" displayName="CPU" name="CPU" id="4">
  <tableColumns count="3">
    <tableColumn name="Metricas" id="1"/>
    <tableColumn name="Virtual" id="2"/>
    <tableColumn name="Tradicional" id="3"/>
  </tableColumns>
  <tableStyleInfo name="Amostra Mínima-style 2" showColumnStripes="0" showFirstColumn="1" showLastColumn="1" showRowStripes="1"/>
</table>
</file>

<file path=xl/tables/table5.xml><?xml version="1.0" encoding="utf-8"?>
<table xmlns="http://schemas.openxmlformats.org/spreadsheetml/2006/main" ref="A9:C14" displayName="Memoria" name="Memoria" id="5">
  <tableColumns count="3">
    <tableColumn name="Metricas" id="1"/>
    <tableColumn name="Virtual" id="2"/>
    <tableColumn name="Tradicional" id="3"/>
  </tableColumns>
  <tableStyleInfo name="Amostra Mínima-style 3" showColumnStripes="0" showFirstColumn="1" showLastColumn="1" showRowStripes="1"/>
</table>
</file>

<file path=xl/tables/table6.xml><?xml version="1.0" encoding="utf-8"?>
<table xmlns="http://schemas.openxmlformats.org/spreadsheetml/2006/main" ref="E9:G14" displayName="Heap" name="Heap" id="6">
  <tableColumns count="3">
    <tableColumn name="Metricas" id="1"/>
    <tableColumn name="Virtual" id="2"/>
    <tableColumn name="Tradicional" id="3"/>
  </tableColumns>
  <tableStyleInfo name="Amostra Mínima-style 4" showColumnStripes="0" showFirstColumn="1" showLastColumn="1" showRowStripes="1"/>
</table>
</file>

<file path=xl/tables/table7.xml><?xml version="1.0" encoding="utf-8"?>
<table xmlns="http://schemas.openxmlformats.org/spreadsheetml/2006/main" ref="A1:J8" displayName="Virtual_IC_95_Sem_Outliers" name="Virtual_IC_95_Sem_Outliers" id="7">
  <tableColumns count="10">
    <tableColumn name="EndPoint" id="1"/>
    <tableColumn name="Métrica" id="2"/>
    <tableColumn name="lat_mean_s" id="3"/>
    <tableColumn name="lat_p50_s" id="4"/>
    <tableColumn name="lat_p90_s" id="5"/>
    <tableColumn name="lat_p95_s" id="6"/>
    <tableColumn name="lat_p99_s" id="7"/>
    <tableColumn name="cpu_mean" id="8"/>
    <tableColumn name=" mem_used_mb  " id="9"/>
    <tableColumn name="heap_used_mb" id="10"/>
  </tableColumns>
  <tableStyleInfo name="Intervalo_Confianca-style" showColumnStripes="0" showFirstColumn="1" showLastColumn="1" showRowStripes="1"/>
</table>
</file>

<file path=xl/tables/table8.xml><?xml version="1.0" encoding="utf-8"?>
<table xmlns="http://schemas.openxmlformats.org/spreadsheetml/2006/main" ref="A12:J19" displayName="Tradicional_IC_95_Sem_Outliers" name="Tradicional_IC_95_Sem_Outliers" id="8">
  <tableColumns count="10">
    <tableColumn name="EndPoint" id="1"/>
    <tableColumn name="Métrica" id="2"/>
    <tableColumn name="lat_mean_s" id="3"/>
    <tableColumn name="lat_p50_s" id="4"/>
    <tableColumn name="lat_p90_s" id="5"/>
    <tableColumn name="lat_p95_s" id="6"/>
    <tableColumn name="lat_p99_s" id="7"/>
    <tableColumn name="cpu_mean" id="8"/>
    <tableColumn name=" mem_used_mb  " id="9"/>
    <tableColumn name="heap_used_mb" id="10"/>
  </tableColumns>
  <tableStyleInfo name="Intervalo_Confianca-style 2" showColumnStripes="0" showFirstColumn="1" showLastColumn="1" showRowStripes="1"/>
</table>
</file>

<file path=xl/tables/table9.xml><?xml version="1.0" encoding="utf-8"?>
<table xmlns="http://schemas.openxmlformats.org/spreadsheetml/2006/main" ref="A22:J24" displayName="Resultados_IC" name="Resultados_IC" id="9">
  <tableColumns count="10">
    <tableColumn name="EndPoint" id="1"/>
    <tableColumn name="Metrica" id="2"/>
    <tableColumn name="lat_mean_s" id="3"/>
    <tableColumn name="lat_p50_s" id="4"/>
    <tableColumn name="lat_p90_s" id="5"/>
    <tableColumn name="lat_p95_s" id="6"/>
    <tableColumn name="lat_p99_s" id="7"/>
    <tableColumn name="cpu_mean" id="8"/>
    <tableColumn name="mem_used_mb" id="9"/>
    <tableColumn name="heap_used_mb" id="10"/>
  </tableColumns>
  <tableStyleInfo name="Intervalo_Confianca-style 3" showColumnStripes="0" showFirstColumn="1" showLastColumn="1" showRowStripes="1"/>
</table>
</file>

<file path=xl/tables/table10.xml><?xml version="1.0" encoding="utf-8"?>
<table xmlns="http://schemas.openxmlformats.org/spreadsheetml/2006/main" ref="A1:C6" displayName="Outliers_Lat_Mean_S" name="Outliers_Lat_Mean_S" id="10">
  <tableColumns count="3">
    <tableColumn name="Métrica" id="1"/>
    <tableColumn name="virtual" id="2"/>
    <tableColumn name="tradicional" id="3"/>
  </tableColumns>
  <tableStyleInfo name="Outliers-style" showColumnStripes="0" showFirstColumn="1" showLastColumn="1" showRowStripes="1"/>
</table>
</file>

<file path=xl/tables/table11.xml><?xml version="1.0" encoding="utf-8"?>
<table xmlns="http://schemas.openxmlformats.org/spreadsheetml/2006/main" ref="E1:G6" displayName="Outliers_CPU" name="Outliers_CPU" id="11">
  <tableColumns count="3">
    <tableColumn name="Métrica" id="1"/>
    <tableColumn name="virtual" id="2"/>
    <tableColumn name="tradicional" id="3"/>
  </tableColumns>
  <tableStyleInfo name="Outliers-style 2" showColumnStripes="0" showFirstColumn="1" showLastColumn="1" showRowStripes="1"/>
</table>
</file>

<file path=xl/tables/table12.xml><?xml version="1.0" encoding="utf-8"?>
<table xmlns="http://schemas.openxmlformats.org/spreadsheetml/2006/main" ref="A9:C14" displayName="Outliers_Memoria" name="Outliers_Memoria" id="12">
  <tableColumns count="3">
    <tableColumn name="Métrica" id="1"/>
    <tableColumn name="virtual" id="2"/>
    <tableColumn name="tradicional" id="3"/>
  </tableColumns>
  <tableStyleInfo name="Outliers-style 3" showColumnStripes="0" showFirstColumn="1" showLastColumn="1" showRowStripes="1"/>
</table>
</file>

<file path=xl/tables/table13.xml><?xml version="1.0" encoding="utf-8"?>
<table xmlns="http://schemas.openxmlformats.org/spreadsheetml/2006/main" ref="E9:G14" displayName="Outliers_heap" name="Outliers_heap" id="13">
  <tableColumns count="3">
    <tableColumn name="Métrica" id="1"/>
    <tableColumn name="virtual" id="2"/>
    <tableColumn name="tradicional" id="3"/>
  </tableColumns>
  <tableStyleInfo name="Outliers-style 4" showColumnStripes="0" showFirstColumn="1" showLastColumn="1" showRowStripes="1"/>
</table>
</file>

<file path=xl/tables/table14.xml><?xml version="1.0" encoding="utf-8"?>
<table xmlns="http://schemas.openxmlformats.org/spreadsheetml/2006/main" ref="A1:O36" displayName="Virtual_Sem_Outliers" name="Virtual_Sem_Outliers" id="14">
  <tableColumns count="15">
    <tableColumn name="run" id="1"/>
    <tableColumn name="lat_mean_s_virtual" id="2"/>
    <tableColumn name="lat_p50_s" id="3"/>
    <tableColumn name="lat_p90_s" id="4"/>
    <tableColumn name="lat_p95_s" id="5"/>
    <tableColumn name="lat_p99_s" id="6"/>
    <tableColumn name="lat_max_s" id="7"/>
    <tableColumn name="requests" id="8"/>
    <tableColumn name="rate" id="9"/>
    <tableColumn name="throughput" id="10"/>
    <tableColumn name="success" id="11"/>
    <tableColumn name="bytes_in_total" id="12"/>
    <tableColumn name="cpu_mean" id="13"/>
    <tableColumn name="mem_used_mb" id="14"/>
    <tableColumn name="heap_used_mb" id="15"/>
  </tableColumns>
  <tableStyleInfo name="Dados_sem_outliers-style" showColumnStripes="0" showFirstColumn="1" showLastColumn="1" showRowStripes="1"/>
</table>
</file>

<file path=xl/tables/table15.xml><?xml version="1.0" encoding="utf-8"?>
<table xmlns="http://schemas.openxmlformats.org/spreadsheetml/2006/main" ref="A39:O72" displayName="Tradicional_Sem_Outliers" name="Tradicional_Sem_Outliers" id="15">
  <tableColumns count="15">
    <tableColumn name="run" id="1"/>
    <tableColumn name="lat_mean_s_tradicional" id="2"/>
    <tableColumn name="lat_p50_s" id="3"/>
    <tableColumn name="lat_p90_s" id="4"/>
    <tableColumn name="lat_p95_s" id="5"/>
    <tableColumn name="lat_p99_s" id="6"/>
    <tableColumn name="lat_max_s" id="7"/>
    <tableColumn name="requests" id="8"/>
    <tableColumn name="rate" id="9"/>
    <tableColumn name="throughput" id="10"/>
    <tableColumn name="success" id="11"/>
    <tableColumn name="bytes_in_total" id="12"/>
    <tableColumn name="cpu_mean" id="13"/>
    <tableColumn name="mem_used_mb" id="14"/>
    <tableColumn name="heap_used_mb" id="15"/>
  </tableColumns>
  <tableStyleInfo name="Dados_sem_outliers-style 2" showColumnStripes="0" showFirstColumn="1" showLastColumn="1" showRowStripes="1"/>
</table>
</file>

<file path=xl/tables/table16.xml><?xml version="1.0" encoding="utf-8"?>
<table xmlns="http://schemas.openxmlformats.org/spreadsheetml/2006/main" ref="A1:J11" displayName="Estatisticas" name="Estatisticas" id="16">
  <tableColumns count="10">
    <tableColumn name="EndPoint" id="1"/>
    <tableColumn name="Métrica" id="2"/>
    <tableColumn name="lat_mean_s" id="3"/>
    <tableColumn name="lat_p50_s" id="4"/>
    <tableColumn name="lat_p90_s" id="5"/>
    <tableColumn name="lat_p95_s" id="6"/>
    <tableColumn name="lat_p99_s" id="7"/>
    <tableColumn name="cpu_mean" id="8"/>
    <tableColumn name=" mem_used_mb  " id="9"/>
    <tableColumn name="heap_used_mb" id="10"/>
  </tableColumns>
  <tableStyleInfo name="Estatisticas-style" showColumnStripes="0" showFirstColumn="1" showLastColumn="1" showRowStripes="1"/>
</table>
</file>

<file path=xl/tables/table17.xml><?xml version="1.0" encoding="utf-8"?>
<table xmlns="http://schemas.openxmlformats.org/spreadsheetml/2006/main" ref="A14:J24" displayName="Estatisticas_Sem_Outliers" name="Estatisticas_Sem_Outliers" id="17">
  <tableColumns count="10">
    <tableColumn name="EndPoint" id="1"/>
    <tableColumn name="Métrica" id="2"/>
    <tableColumn name="lat_mean_s" id="3"/>
    <tableColumn name="lat_p50_s" id="4"/>
    <tableColumn name="lat_p90_s" id="5"/>
    <tableColumn name="lat_p95_s" id="6"/>
    <tableColumn name="lat_p99_s" id="7"/>
    <tableColumn name="cpu_mean" id="8"/>
    <tableColumn name=" mem_used_mb  " id="9"/>
    <tableColumn name="heap_used_mb" id="10"/>
  </tableColumns>
  <tableStyleInfo name="Estatisticas-style 2" showColumnStripes="0" showFirstColumn="1" showLastColumn="1" showRowStripes="1"/>
</table>
</file>

<file path=xl/tables/table18.xml><?xml version="1.0" encoding="utf-8"?>
<table xmlns="http://schemas.openxmlformats.org/spreadsheetml/2006/main" ref="A1:D7" displayName="Comparação" name="Comparação" id="18">
  <tableColumns count="4">
    <tableColumn name="Métrica" id="1"/>
    <tableColumn name="Virtual" id="2"/>
    <tableColumn name="Tradicional" id="3"/>
    <tableColumn name="Tradicional/Virtual" id="4"/>
  </tableColumns>
  <tableStyleInfo name="Comparativo-style" showColumnStripes="0" showFirstColumn="1" showLastColumn="1" showRowStripes="1"/>
</table>
</file>

<file path=xl/tables/table19.xml><?xml version="1.0" encoding="utf-8"?>
<table xmlns="http://schemas.openxmlformats.org/spreadsheetml/2006/main" ref="A1:E15" displayName="Perfomance" name="Perfomance" id="19">
  <tableColumns count="5">
    <tableColumn name="Indicador" id="1"/>
    <tableColumn name="Virtual" id="2"/>
    <tableColumn name="Tradicional" id="3"/>
    <tableColumn name="Virtual_Sem_Outilers" id="4"/>
    <tableColumn name="Tradicional_Sem_Outliers" id="5"/>
  </tableColumns>
  <tableStyleInfo name="Performan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6.xml"/><Relationship Id="rId6" Type="http://schemas.openxmlformats.org/officeDocument/2006/relationships/table" Target="../tables/table3.xml"/><Relationship Id="rId7" Type="http://schemas.openxmlformats.org/officeDocument/2006/relationships/table" Target="../tables/table4.xml"/><Relationship Id="rId8" Type="http://schemas.openxmlformats.org/officeDocument/2006/relationships/table" Target="../tables/table5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7.xml"/><Relationship Id="rId6" Type="http://schemas.openxmlformats.org/officeDocument/2006/relationships/table" Target="../tables/table8.xml"/><Relationship Id="rId7" Type="http://schemas.openxmlformats.org/officeDocument/2006/relationships/table" Target="../tables/table9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9" Type="http://schemas.openxmlformats.org/officeDocument/2006/relationships/table" Target="../tables/table13.xml"/><Relationship Id="rId6" Type="http://schemas.openxmlformats.org/officeDocument/2006/relationships/table" Target="../tables/table10.xml"/><Relationship Id="rId7" Type="http://schemas.openxmlformats.org/officeDocument/2006/relationships/table" Target="../tables/table11.xml"/><Relationship Id="rId8" Type="http://schemas.openxmlformats.org/officeDocument/2006/relationships/table" Target="../tables/table1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14.xml"/><Relationship Id="rId5" Type="http://schemas.openxmlformats.org/officeDocument/2006/relationships/table" Target="../tables/table1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16.xml"/><Relationship Id="rId5" Type="http://schemas.openxmlformats.org/officeDocument/2006/relationships/table" Target="../tables/table1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2.13"/>
    <col customWidth="1" min="3" max="3" width="10.75"/>
    <col customWidth="1" min="4" max="4" width="11.25"/>
    <col customWidth="1" min="5" max="5" width="11.0"/>
    <col customWidth="1" min="6" max="6" width="11.25"/>
    <col customWidth="1" min="7" max="7" width="11.38"/>
    <col customWidth="1" min="8" max="8" width="10.38"/>
    <col customWidth="1" min="9" max="9" width="9.63"/>
    <col customWidth="1" min="10" max="10" width="12.75"/>
    <col customWidth="1" min="11" max="11" width="10.13"/>
    <col customWidth="1" min="12" max="12" width="14.38"/>
    <col customWidth="1" min="13" max="13" width="12.13"/>
    <col customWidth="1" min="14" max="14" width="15.63"/>
    <col customWidth="1" min="15" max="15" width="16.88"/>
    <col customWidth="1" min="16" max="16" width="15.75"/>
  </cols>
  <sheetData>
    <row r="1" ht="20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1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>
      <c r="A2" s="6">
        <v>2.0</v>
      </c>
      <c r="B2" s="7">
        <v>0.143919951</v>
      </c>
      <c r="C2" s="7">
        <v>0.10859756</v>
      </c>
      <c r="D2" s="7">
        <v>0.125190161</v>
      </c>
      <c r="E2" s="7">
        <v>0.208158526</v>
      </c>
      <c r="F2" s="7">
        <v>1.046642551</v>
      </c>
      <c r="G2" s="7">
        <v>9.832742925</v>
      </c>
      <c r="H2" s="6">
        <v>600000.0</v>
      </c>
      <c r="I2" s="7">
        <v>1000.00161084592</v>
      </c>
      <c r="J2" s="7">
        <v>999.820119086586</v>
      </c>
      <c r="K2" s="8">
        <v>0.999996666666666</v>
      </c>
      <c r="L2" s="9">
        <v>1.9799934E7</v>
      </c>
      <c r="M2" s="10">
        <v>0.0369968075897993</v>
      </c>
      <c r="N2" s="11">
        <v>733.641687760966</v>
      </c>
      <c r="O2" s="11">
        <v>351.826790106101</v>
      </c>
      <c r="P2" s="12" t="str">
        <f>IF(OR(B2&gt;virtual_limite_lat_mean_s, M2&gt;virtual_limite_superior_cpu, M2&lt;virtual_limite_inferior_cpu, N2 &gt; virtual_limite_memoria, O2 &gt; virtual_limite_heap ), "OUTLIER", "OK")
</f>
        <v>OK</v>
      </c>
    </row>
    <row r="3">
      <c r="A3" s="6">
        <v>4.0</v>
      </c>
      <c r="B3" s="7">
        <v>0.124497518</v>
      </c>
      <c r="C3" s="7">
        <v>0.108805519</v>
      </c>
      <c r="D3" s="7">
        <v>0.123807358</v>
      </c>
      <c r="E3" s="7">
        <v>0.141385531</v>
      </c>
      <c r="F3" s="7">
        <v>0.373955079</v>
      </c>
      <c r="G3" s="7">
        <v>6.102789987</v>
      </c>
      <c r="H3" s="6">
        <v>600000.0</v>
      </c>
      <c r="I3" s="7">
        <v>1000.00146625881</v>
      </c>
      <c r="J3" s="7">
        <v>999.779353145778</v>
      </c>
      <c r="K3" s="8">
        <v>1.0</v>
      </c>
      <c r="L3" s="9">
        <v>1.98E7</v>
      </c>
      <c r="M3" s="10">
        <v>0.0354984976479933</v>
      </c>
      <c r="N3" s="11">
        <v>445.098380735203</v>
      </c>
      <c r="O3" s="11">
        <v>144.845465723673</v>
      </c>
      <c r="P3" s="12" t="str">
        <f>IF(OR(B3&gt;virtual_limite_lat_mean_s, M3&gt;virtual_limite_superior_cpu, M3&lt;virtual_limite_inferior_cpu, N3 &gt; virtual_limite_memoria, O3 &gt; virtual_limite_heap ), "OUTLIER", "OK")
</f>
        <v>OK</v>
      </c>
    </row>
    <row r="4">
      <c r="A4" s="6">
        <v>6.0</v>
      </c>
      <c r="B4" s="7">
        <v>0.112674829</v>
      </c>
      <c r="C4" s="7">
        <v>0.108404927</v>
      </c>
      <c r="D4" s="7">
        <v>0.118187534</v>
      </c>
      <c r="E4" s="7">
        <v>0.127892709</v>
      </c>
      <c r="F4" s="7">
        <v>0.212994313</v>
      </c>
      <c r="G4" s="7">
        <v>0.56202258</v>
      </c>
      <c r="H4" s="6">
        <v>600000.0</v>
      </c>
      <c r="I4" s="7">
        <v>1000.00091665084</v>
      </c>
      <c r="J4" s="7">
        <v>999.821948073134</v>
      </c>
      <c r="K4" s="8">
        <v>1.0</v>
      </c>
      <c r="L4" s="9">
        <v>1.98E7</v>
      </c>
      <c r="M4" s="10">
        <v>0.0370026325852842</v>
      </c>
      <c r="N4" s="11">
        <v>507.433959220606</v>
      </c>
      <c r="O4" s="11">
        <v>232.92969235834</v>
      </c>
      <c r="P4" s="12" t="str">
        <f>IF(OR(B4&gt;virtual_limite_lat_mean_s, M4&gt;virtual_limite_superior_cpu, M4&lt;virtual_limite_inferior_cpu, N4 &gt; virtual_limite_memoria, O4 &gt; virtual_limite_heap ), "OUTLIER", "OK")
</f>
        <v>OK</v>
      </c>
    </row>
    <row r="5">
      <c r="A5" s="6">
        <v>8.0</v>
      </c>
      <c r="B5" s="7">
        <v>0.211555571</v>
      </c>
      <c r="C5" s="7">
        <v>0.111359169</v>
      </c>
      <c r="D5" s="7">
        <v>0.182734035</v>
      </c>
      <c r="E5" s="7">
        <v>0.567805831</v>
      </c>
      <c r="F5" s="7">
        <v>2.584162808</v>
      </c>
      <c r="G5" s="7">
        <v>13.390707582</v>
      </c>
      <c r="H5" s="6">
        <v>600000.0</v>
      </c>
      <c r="I5" s="7">
        <v>1000.00161889428</v>
      </c>
      <c r="J5" s="7">
        <v>999.781865717339</v>
      </c>
      <c r="K5" s="8">
        <v>0.999978333333333</v>
      </c>
      <c r="L5" s="9">
        <v>1.9799571E7</v>
      </c>
      <c r="M5" s="10">
        <v>0.0370718111161936</v>
      </c>
      <c r="N5" s="11">
        <v>403.452087583541</v>
      </c>
      <c r="O5" s="11">
        <v>90.933531637494</v>
      </c>
      <c r="P5" s="12" t="str">
        <f>IF(OR(B5&gt;virtual_limite_lat_mean_s, M5&gt;virtual_limite_superior_cpu, M5&lt;virtual_limite_inferior_cpu, N5 &gt; virtual_limite_memoria, O5 &gt; virtual_limite_heap ), "OUTLIER", "OK")
</f>
        <v>OK</v>
      </c>
    </row>
    <row r="6">
      <c r="A6" s="6">
        <v>10.0</v>
      </c>
      <c r="B6" s="7">
        <v>0.113992954</v>
      </c>
      <c r="C6" s="7">
        <v>0.109370352</v>
      </c>
      <c r="D6" s="7">
        <v>0.121481125</v>
      </c>
      <c r="E6" s="7">
        <v>0.131035647</v>
      </c>
      <c r="F6" s="7">
        <v>0.186572009</v>
      </c>
      <c r="G6" s="7">
        <v>1.670313411</v>
      </c>
      <c r="H6" s="6">
        <v>600000.0</v>
      </c>
      <c r="I6" s="7">
        <v>1000.0016750478</v>
      </c>
      <c r="J6" s="7">
        <v>999.825100160305</v>
      </c>
      <c r="K6" s="8">
        <v>1.0</v>
      </c>
      <c r="L6" s="9">
        <v>1.98E7</v>
      </c>
      <c r="M6" s="10">
        <v>0.0383764570685618</v>
      </c>
      <c r="N6" s="11">
        <v>246.507576945628</v>
      </c>
      <c r="O6" s="11">
        <v>55.8158362828768</v>
      </c>
      <c r="P6" s="12" t="str">
        <f>IF(OR(B6&gt;virtual_limite_lat_mean_s, M6&gt;virtual_limite_superior_cpu, M6&lt;virtual_limite_inferior_cpu, N6 &gt; virtual_limite_memoria, O6 &gt; virtual_limite_heap ), "OUTLIER", "OK")
</f>
        <v>OK</v>
      </c>
    </row>
    <row r="7">
      <c r="A7" s="6">
        <v>12.0</v>
      </c>
      <c r="B7" s="7">
        <v>0.111145463</v>
      </c>
      <c r="C7" s="7">
        <v>0.108827734</v>
      </c>
      <c r="D7" s="7">
        <v>0.118019745</v>
      </c>
      <c r="E7" s="7">
        <v>0.123314002</v>
      </c>
      <c r="F7" s="7">
        <v>0.145225021</v>
      </c>
      <c r="G7" s="7">
        <v>0.366781289</v>
      </c>
      <c r="H7" s="6">
        <v>600000.0</v>
      </c>
      <c r="I7" s="7">
        <v>1000.00122838817</v>
      </c>
      <c r="J7" s="7">
        <v>999.819681497293</v>
      </c>
      <c r="K7" s="8">
        <v>1.0</v>
      </c>
      <c r="L7" s="9">
        <v>1.98E7</v>
      </c>
      <c r="M7" s="10">
        <v>0.0390230563076923</v>
      </c>
      <c r="N7" s="11">
        <v>240.041218235417</v>
      </c>
      <c r="O7" s="11">
        <v>55.5286426094921</v>
      </c>
      <c r="P7" s="12" t="str">
        <f>IF(OR(B7&gt;virtual_limite_lat_mean_s, M7&gt;virtual_limite_superior_cpu, M7&lt;virtual_limite_inferior_cpu, N7 &gt; virtual_limite_memoria, O7 &gt; virtual_limite_heap ), "OUTLIER", "OK")
</f>
        <v>OK</v>
      </c>
    </row>
    <row r="8">
      <c r="A8" s="6">
        <v>14.0</v>
      </c>
      <c r="B8" s="7">
        <v>0.114077662</v>
      </c>
      <c r="C8" s="7">
        <v>0.109529698</v>
      </c>
      <c r="D8" s="7">
        <v>0.124000801</v>
      </c>
      <c r="E8" s="7">
        <v>0.136819047</v>
      </c>
      <c r="F8" s="7">
        <v>0.1936668</v>
      </c>
      <c r="G8" s="7">
        <v>0.380963344</v>
      </c>
      <c r="H8" s="6">
        <v>600000.0</v>
      </c>
      <c r="I8" s="7">
        <v>1000.00161833261</v>
      </c>
      <c r="J8" s="7">
        <v>999.7702648487</v>
      </c>
      <c r="K8" s="8">
        <v>1.0</v>
      </c>
      <c r="L8" s="9">
        <v>1.98E7</v>
      </c>
      <c r="M8" s="10">
        <v>0.0372861087274247</v>
      </c>
      <c r="N8" s="11">
        <v>276.951887509659</v>
      </c>
      <c r="O8" s="11">
        <v>73.0031150464909</v>
      </c>
      <c r="P8" s="12" t="str">
        <f>IF(OR(B8&gt;virtual_limite_lat_mean_s, M8&gt;virtual_limite_superior_cpu, M8&lt;virtual_limite_inferior_cpu, N8 &gt; virtual_limite_memoria, O8 &gt; virtual_limite_heap ), "OUTLIER", "OK")
</f>
        <v>OK</v>
      </c>
    </row>
    <row r="9">
      <c r="A9" s="6">
        <v>16.0</v>
      </c>
      <c r="B9" s="7">
        <v>0.146434523</v>
      </c>
      <c r="C9" s="7">
        <v>0.112616244</v>
      </c>
      <c r="D9" s="7">
        <v>0.162560137</v>
      </c>
      <c r="E9" s="7">
        <v>0.225949108</v>
      </c>
      <c r="F9" s="7">
        <v>1.02003324</v>
      </c>
      <c r="G9" s="7">
        <v>8.610516367</v>
      </c>
      <c r="H9" s="6">
        <v>600000.0</v>
      </c>
      <c r="I9" s="7">
        <v>1000.00022426671</v>
      </c>
      <c r="J9" s="7">
        <v>999.820775465525</v>
      </c>
      <c r="K9" s="8">
        <v>1.0</v>
      </c>
      <c r="L9" s="9">
        <v>1.98E7</v>
      </c>
      <c r="M9" s="10">
        <v>0.0360044827513377</v>
      </c>
      <c r="N9" s="11">
        <v>449.017108288352</v>
      </c>
      <c r="O9" s="11">
        <v>130.879385371666</v>
      </c>
      <c r="P9" s="12" t="str">
        <f>IF(OR(B9&gt;virtual_limite_lat_mean_s, M9&gt;virtual_limite_superior_cpu, M9&lt;virtual_limite_inferior_cpu, N9 &gt; virtual_limite_memoria, O9 &gt; virtual_limite_heap ), "OUTLIER", "OK")
</f>
        <v>OK</v>
      </c>
    </row>
    <row r="10">
      <c r="A10" s="6">
        <v>18.0</v>
      </c>
      <c r="B10" s="7">
        <v>11.849195618</v>
      </c>
      <c r="C10" s="7">
        <v>1.099457986</v>
      </c>
      <c r="D10" s="7">
        <v>36.748326973</v>
      </c>
      <c r="E10" s="7">
        <v>49.380496495</v>
      </c>
      <c r="F10" s="7">
        <v>72.535524951</v>
      </c>
      <c r="G10" s="7">
        <v>112.452778747</v>
      </c>
      <c r="H10" s="6">
        <v>600000.0</v>
      </c>
      <c r="I10" s="7">
        <v>1000.00142863204</v>
      </c>
      <c r="J10" s="7">
        <v>843.289573426833</v>
      </c>
      <c r="K10" s="8">
        <v>0.84344</v>
      </c>
      <c r="L10" s="9">
        <v>1.6700112E7</v>
      </c>
      <c r="M10" s="10">
        <v>0.0396889798011705</v>
      </c>
      <c r="N10" s="11">
        <v>890.277997023275</v>
      </c>
      <c r="O10" s="11">
        <v>422.155413884383</v>
      </c>
      <c r="P10" s="12" t="str">
        <f>IF(OR(B10&gt;virtual_limite_lat_mean_s, M10&gt;virtual_limite_superior_cpu, M10&lt;virtual_limite_inferior_cpu, N10 &gt; virtual_limite_memoria, O10 &gt; virtual_limite_heap ), "OUTLIER", "OK")
</f>
        <v>OUTLIER</v>
      </c>
    </row>
    <row r="11">
      <c r="A11" s="6">
        <v>20.0</v>
      </c>
      <c r="B11" s="7">
        <v>0.123546462</v>
      </c>
      <c r="C11" s="7">
        <v>0.109383325</v>
      </c>
      <c r="D11" s="7">
        <v>0.12401202</v>
      </c>
      <c r="E11" s="7">
        <v>0.146789394</v>
      </c>
      <c r="F11" s="7">
        <v>0.514642901</v>
      </c>
      <c r="G11" s="7">
        <v>4.828199395</v>
      </c>
      <c r="H11" s="6">
        <v>600000.0</v>
      </c>
      <c r="I11" s="7">
        <v>1000.00179089154</v>
      </c>
      <c r="J11" s="7">
        <v>994.510428772465</v>
      </c>
      <c r="K11" s="8">
        <v>1.0</v>
      </c>
      <c r="L11" s="9">
        <v>1.98E7</v>
      </c>
      <c r="M11" s="10">
        <v>0.0374078567101329</v>
      </c>
      <c r="N11" s="11">
        <v>290.629600491689</v>
      </c>
      <c r="O11" s="11">
        <v>87.3565588786189</v>
      </c>
      <c r="P11" s="12" t="str">
        <f>IF(OR(B11&gt;virtual_limite_lat_mean_s, M11&gt;virtual_limite_superior_cpu, M11&lt;virtual_limite_inferior_cpu, N11 &gt; virtual_limite_memoria, O11 &gt; virtual_limite_heap ), "OUTLIER", "OK")
</f>
        <v>OK</v>
      </c>
    </row>
    <row r="12">
      <c r="A12" s="6">
        <v>22.0</v>
      </c>
      <c r="B12" s="7">
        <v>0.112073597</v>
      </c>
      <c r="C12" s="7">
        <v>0.108981025</v>
      </c>
      <c r="D12" s="7">
        <v>0.11922203</v>
      </c>
      <c r="E12" s="7">
        <v>0.126971818</v>
      </c>
      <c r="F12" s="7">
        <v>0.165841593</v>
      </c>
      <c r="G12" s="7">
        <v>0.443381598</v>
      </c>
      <c r="H12" s="6">
        <v>600000.0</v>
      </c>
      <c r="I12" s="7">
        <v>1000.00112322126</v>
      </c>
      <c r="J12" s="7">
        <v>999.822167428381</v>
      </c>
      <c r="K12" s="8">
        <v>1.0</v>
      </c>
      <c r="L12" s="9">
        <v>1.98E7</v>
      </c>
      <c r="M12" s="10">
        <v>0.0381777453695652</v>
      </c>
      <c r="N12" s="11">
        <v>254.800371440702</v>
      </c>
      <c r="O12" s="11">
        <v>61.275060515164</v>
      </c>
      <c r="P12" s="12" t="str">
        <f>IF(OR(B12&gt;virtual_limite_lat_mean_s, M12&gt;virtual_limite_superior_cpu, M12&lt;virtual_limite_inferior_cpu, N12 &gt; virtual_limite_memoria, O12 &gt; virtual_limite_heap ), "OUTLIER", "OK")
</f>
        <v>OK</v>
      </c>
    </row>
    <row r="13">
      <c r="A13" s="6">
        <v>24.0</v>
      </c>
      <c r="B13" s="7">
        <v>23.762474556</v>
      </c>
      <c r="C13" s="7">
        <v>18.30325548</v>
      </c>
      <c r="D13" s="7">
        <v>58.841830411</v>
      </c>
      <c r="E13" s="7">
        <v>71.666990502</v>
      </c>
      <c r="F13" s="7">
        <v>90.598768646</v>
      </c>
      <c r="G13" s="7">
        <v>144.351686377</v>
      </c>
      <c r="H13" s="6">
        <v>600000.0</v>
      </c>
      <c r="I13" s="7">
        <v>999.268320360423</v>
      </c>
      <c r="J13" s="7">
        <v>665.63370697524</v>
      </c>
      <c r="K13" s="8">
        <v>0.702686666666666</v>
      </c>
      <c r="L13" s="9">
        <v>1.3913196E7</v>
      </c>
      <c r="M13" s="10">
        <v>0.0390701935020602</v>
      </c>
      <c r="N13" s="11">
        <v>775.35261356227</v>
      </c>
      <c r="O13" s="11">
        <v>400.452389549963</v>
      </c>
      <c r="P13" s="12" t="str">
        <f>IF(OR(B13&gt;virtual_limite_lat_mean_s, M13&gt;virtual_limite_superior_cpu, M13&lt;virtual_limite_inferior_cpu, N13 &gt; virtual_limite_memoria, O13 &gt; virtual_limite_heap ), "OUTLIER", "OK")
</f>
        <v>OUTLIER</v>
      </c>
    </row>
    <row r="14">
      <c r="A14" s="6">
        <v>26.0</v>
      </c>
      <c r="B14" s="7">
        <v>26.025987679</v>
      </c>
      <c r="C14" s="7">
        <v>14.694916863</v>
      </c>
      <c r="D14" s="7">
        <v>73.853786358</v>
      </c>
      <c r="E14" s="7">
        <v>83.36988598</v>
      </c>
      <c r="F14" s="7">
        <v>104.413438226</v>
      </c>
      <c r="G14" s="7">
        <v>176.623646644</v>
      </c>
      <c r="H14" s="6">
        <v>600000.0</v>
      </c>
      <c r="I14" s="7">
        <v>1000.00126818494</v>
      </c>
      <c r="J14" s="7">
        <v>700.69234240847</v>
      </c>
      <c r="K14" s="8">
        <v>0.700818333333333</v>
      </c>
      <c r="L14" s="9">
        <v>1.3876203E7</v>
      </c>
      <c r="M14" s="10">
        <v>0.036282596314214</v>
      </c>
      <c r="N14" s="11">
        <v>1294.28320960329</v>
      </c>
      <c r="O14" s="11">
        <v>643.860072921304</v>
      </c>
      <c r="P14" s="12" t="str">
        <f>IF(OR(B14&gt;virtual_limite_lat_mean_s, M14&gt;virtual_limite_superior_cpu, M14&lt;virtual_limite_inferior_cpu, N14 &gt; virtual_limite_memoria, O14 &gt; virtual_limite_heap ), "OUTLIER", "OK")
</f>
        <v>OUTLIER</v>
      </c>
    </row>
    <row r="15">
      <c r="A15" s="6">
        <v>28.0</v>
      </c>
      <c r="B15" s="7">
        <v>0.518988479</v>
      </c>
      <c r="C15" s="7">
        <v>0.111575617</v>
      </c>
      <c r="D15" s="7">
        <v>0.331589281</v>
      </c>
      <c r="E15" s="7">
        <v>1.611242923</v>
      </c>
      <c r="F15" s="7">
        <v>12.093926693</v>
      </c>
      <c r="G15" s="7">
        <v>63.569339433</v>
      </c>
      <c r="H15" s="6">
        <v>600000.0</v>
      </c>
      <c r="I15" s="7">
        <v>1000.00094599089</v>
      </c>
      <c r="J15" s="7">
        <v>995.273938885054</v>
      </c>
      <c r="K15" s="8">
        <v>0.995456666666666</v>
      </c>
      <c r="L15" s="9">
        <v>1.9710042E7</v>
      </c>
      <c r="M15" s="10">
        <v>0.0369194137100334</v>
      </c>
      <c r="N15" s="11">
        <v>438.887362219057</v>
      </c>
      <c r="O15" s="11">
        <v>104.716489098288</v>
      </c>
      <c r="P15" s="12" t="str">
        <f>IF(OR(B15&gt;virtual_limite_lat_mean_s, M15&gt;virtual_limite_superior_cpu, M15&lt;virtual_limite_inferior_cpu, N15 &gt; virtual_limite_memoria, O15 &gt; virtual_limite_heap ), "OUTLIER", "OK")
</f>
        <v>OUTLIER</v>
      </c>
    </row>
    <row r="16">
      <c r="A16" s="6">
        <v>30.0</v>
      </c>
      <c r="B16" s="7">
        <v>0.111236712</v>
      </c>
      <c r="C16" s="7">
        <v>0.108700888</v>
      </c>
      <c r="D16" s="7">
        <v>0.119127164</v>
      </c>
      <c r="E16" s="7">
        <v>0.125447282</v>
      </c>
      <c r="F16" s="7">
        <v>0.146265758</v>
      </c>
      <c r="G16" s="7">
        <v>0.299041131</v>
      </c>
      <c r="H16" s="6">
        <v>600000.0</v>
      </c>
      <c r="I16" s="7">
        <v>1000.00098736264</v>
      </c>
      <c r="J16" s="7">
        <v>999.823392214152</v>
      </c>
      <c r="K16" s="8">
        <v>1.0</v>
      </c>
      <c r="L16" s="9">
        <v>1.98E7</v>
      </c>
      <c r="M16" s="10">
        <v>0.038623443673913</v>
      </c>
      <c r="N16" s="11">
        <v>234.694717956504</v>
      </c>
      <c r="O16" s="11">
        <v>49.3406224348908</v>
      </c>
      <c r="P16" s="12" t="str">
        <f>IF(OR(B16&gt;virtual_limite_lat_mean_s, M16&gt;virtual_limite_superior_cpu, M16&lt;virtual_limite_inferior_cpu, N16 &gt; virtual_limite_memoria, O16 &gt; virtual_limite_heap ), "OUTLIER", "OK")
</f>
        <v>OK</v>
      </c>
    </row>
    <row r="17">
      <c r="A17" s="6">
        <v>32.0</v>
      </c>
      <c r="B17" s="7">
        <v>0.114524893</v>
      </c>
      <c r="C17" s="7">
        <v>0.109972468</v>
      </c>
      <c r="D17" s="7">
        <v>0.126907513</v>
      </c>
      <c r="E17" s="7">
        <v>0.138853721</v>
      </c>
      <c r="F17" s="7">
        <v>0.17944721</v>
      </c>
      <c r="G17" s="7">
        <v>0.781143276</v>
      </c>
      <c r="H17" s="6">
        <v>600000.0</v>
      </c>
      <c r="I17" s="7">
        <v>1000.00040113349</v>
      </c>
      <c r="J17" s="7">
        <v>999.823074564815</v>
      </c>
      <c r="K17" s="8">
        <v>1.0</v>
      </c>
      <c r="L17" s="9">
        <v>1.98E7</v>
      </c>
      <c r="M17" s="10">
        <v>0.0379841860802676</v>
      </c>
      <c r="N17" s="11">
        <v>235.175575902744</v>
      </c>
      <c r="O17" s="11">
        <v>49.2468930251306</v>
      </c>
      <c r="P17" s="12" t="str">
        <f>IF(OR(B17&gt;virtual_limite_lat_mean_s, M17&gt;virtual_limite_superior_cpu, M17&lt;virtual_limite_inferior_cpu, N17 &gt; virtual_limite_memoria, O17 &gt; virtual_limite_heap ), "OUTLIER", "OK")
</f>
        <v>OK</v>
      </c>
    </row>
    <row r="18">
      <c r="A18" s="6">
        <v>34.0</v>
      </c>
      <c r="B18" s="7">
        <v>0.111493342</v>
      </c>
      <c r="C18" s="7">
        <v>0.108965187</v>
      </c>
      <c r="D18" s="7">
        <v>0.11877828</v>
      </c>
      <c r="E18" s="7">
        <v>0.12585047</v>
      </c>
      <c r="F18" s="7">
        <v>0.150117235</v>
      </c>
      <c r="G18" s="7">
        <v>0.362771636</v>
      </c>
      <c r="H18" s="6">
        <v>600000.0</v>
      </c>
      <c r="I18" s="7">
        <v>1000.00180278491</v>
      </c>
      <c r="J18" s="7">
        <v>999.822860545612</v>
      </c>
      <c r="K18" s="8">
        <v>1.0</v>
      </c>
      <c r="L18" s="9">
        <v>1.98E7</v>
      </c>
      <c r="M18" s="10">
        <v>0.0363090571956521</v>
      </c>
      <c r="N18" s="11">
        <v>299.132266450604</v>
      </c>
      <c r="O18" s="11">
        <v>75.890818847469</v>
      </c>
      <c r="P18" s="12" t="str">
        <f>IF(OR(B18&gt;virtual_limite_lat_mean_s, M18&gt;virtual_limite_superior_cpu, M18&lt;virtual_limite_inferior_cpu, N18 &gt; virtual_limite_memoria, O18 &gt; virtual_limite_heap ), "OUTLIER", "OK")
</f>
        <v>OK</v>
      </c>
    </row>
    <row r="19">
      <c r="A19" s="6">
        <v>36.0</v>
      </c>
      <c r="B19" s="7">
        <v>0.114477893</v>
      </c>
      <c r="C19" s="7">
        <v>0.108915376</v>
      </c>
      <c r="D19" s="7">
        <v>0.124911276</v>
      </c>
      <c r="E19" s="7">
        <v>0.138611221</v>
      </c>
      <c r="F19" s="7">
        <v>0.209316707</v>
      </c>
      <c r="G19" s="7">
        <v>1.058011328</v>
      </c>
      <c r="H19" s="6">
        <v>600000.0</v>
      </c>
      <c r="I19" s="7">
        <v>1000.00171597794</v>
      </c>
      <c r="J19" s="7">
        <v>999.741743362053</v>
      </c>
      <c r="K19" s="8">
        <v>1.0</v>
      </c>
      <c r="L19" s="9">
        <v>1.98E7</v>
      </c>
      <c r="M19" s="10">
        <v>0.0371225797416388</v>
      </c>
      <c r="N19" s="11">
        <v>293.124482142109</v>
      </c>
      <c r="O19" s="11">
        <v>82.3301272374142</v>
      </c>
      <c r="P19" s="12" t="str">
        <f>IF(OR(B19&gt;virtual_limite_lat_mean_s, M19&gt;virtual_limite_superior_cpu, M19&lt;virtual_limite_inferior_cpu, N19 &gt; virtual_limite_memoria, O19 &gt; virtual_limite_heap ), "OUTLIER", "OK")
</f>
        <v>OK</v>
      </c>
    </row>
    <row r="20">
      <c r="A20" s="6">
        <v>38.0</v>
      </c>
      <c r="B20" s="7">
        <v>0.136752696</v>
      </c>
      <c r="C20" s="7">
        <v>0.108709343</v>
      </c>
      <c r="D20" s="7">
        <v>0.132643832</v>
      </c>
      <c r="E20" s="7">
        <v>0.194612605</v>
      </c>
      <c r="F20" s="7">
        <v>0.923557216</v>
      </c>
      <c r="G20" s="7">
        <v>5.290283853</v>
      </c>
      <c r="H20" s="6">
        <v>600000.0</v>
      </c>
      <c r="I20" s="7">
        <v>1000.00007364722</v>
      </c>
      <c r="J20" s="7">
        <v>999.8134123881</v>
      </c>
      <c r="K20" s="8">
        <v>1.0</v>
      </c>
      <c r="L20" s="9">
        <v>1.98E7</v>
      </c>
      <c r="M20" s="10">
        <v>0.0373702564861203</v>
      </c>
      <c r="N20" s="11">
        <v>436.961509822406</v>
      </c>
      <c r="O20" s="11">
        <v>150.853461181416</v>
      </c>
      <c r="P20" s="12" t="str">
        <f>IF(OR(B20&gt;virtual_limite_lat_mean_s, M20&gt;virtual_limite_superior_cpu, M20&lt;virtual_limite_inferior_cpu, N20 &gt; virtual_limite_memoria, O20 &gt; virtual_limite_heap ), "OUTLIER", "OK")
</f>
        <v>OK</v>
      </c>
    </row>
    <row r="21">
      <c r="A21" s="6">
        <v>40.0</v>
      </c>
      <c r="B21" s="7">
        <v>0.129006874</v>
      </c>
      <c r="C21" s="7">
        <v>0.109688203</v>
      </c>
      <c r="D21" s="7">
        <v>0.130910866</v>
      </c>
      <c r="E21" s="7">
        <v>0.173298045</v>
      </c>
      <c r="F21" s="7">
        <v>0.542735306</v>
      </c>
      <c r="G21" s="7">
        <v>8.725744024</v>
      </c>
      <c r="H21" s="6">
        <v>600000.0</v>
      </c>
      <c r="I21" s="7">
        <v>1000.0008017423</v>
      </c>
      <c r="J21" s="7">
        <v>999.823969743671</v>
      </c>
      <c r="K21" s="8">
        <v>0.999998333333333</v>
      </c>
      <c r="L21" s="9">
        <v>1.9799967E7</v>
      </c>
      <c r="M21" s="10">
        <v>0.0357917367692307</v>
      </c>
      <c r="N21" s="11">
        <v>849.540187340546</v>
      </c>
      <c r="O21" s="11">
        <v>393.227653752202</v>
      </c>
      <c r="P21" s="12" t="str">
        <f>IF(OR(B21&gt;virtual_limite_lat_mean_s, M21&gt;virtual_limite_superior_cpu, M21&lt;virtual_limite_inferior_cpu, N21 &gt; virtual_limite_memoria, O21 &gt; virtual_limite_heap ), "OUTLIER", "OK")
</f>
        <v>OUTLIER</v>
      </c>
    </row>
    <row r="22">
      <c r="A22" s="6">
        <v>42.0</v>
      </c>
      <c r="B22" s="7">
        <v>0.114506952</v>
      </c>
      <c r="C22" s="7">
        <v>0.108732889</v>
      </c>
      <c r="D22" s="7">
        <v>0.120808525</v>
      </c>
      <c r="E22" s="7">
        <v>0.131787415</v>
      </c>
      <c r="F22" s="7">
        <v>0.245612524</v>
      </c>
      <c r="G22" s="7">
        <v>1.232186744</v>
      </c>
      <c r="H22" s="6">
        <v>599999.0</v>
      </c>
      <c r="I22" s="7">
        <v>999.999952176589</v>
      </c>
      <c r="J22" s="7">
        <v>999.822599049293</v>
      </c>
      <c r="K22" s="8">
        <v>1.0</v>
      </c>
      <c r="L22" s="9">
        <v>1.9799967E7</v>
      </c>
      <c r="M22" s="10">
        <v>0.0370017680903009</v>
      </c>
      <c r="N22" s="11">
        <v>399.068326189044</v>
      </c>
      <c r="O22" s="11">
        <v>98.1574241293352</v>
      </c>
      <c r="P22" s="12" t="str">
        <f>IF(OR(B22&gt;virtual_limite_lat_mean_s, M22&gt;virtual_limite_superior_cpu, M22&lt;virtual_limite_inferior_cpu, N22 &gt; virtual_limite_memoria, O22 &gt; virtual_limite_heap ), "OUTLIER", "OK")
</f>
        <v>OK</v>
      </c>
    </row>
    <row r="23">
      <c r="A23" s="6">
        <v>44.0</v>
      </c>
      <c r="B23" s="7">
        <v>0.160570866</v>
      </c>
      <c r="C23" s="7">
        <v>0.109832302</v>
      </c>
      <c r="D23" s="7">
        <v>0.145246118</v>
      </c>
      <c r="E23" s="7">
        <v>0.212139713</v>
      </c>
      <c r="F23" s="7">
        <v>1.682631179</v>
      </c>
      <c r="G23" s="7">
        <v>13.729631515</v>
      </c>
      <c r="H23" s="6">
        <v>600000.0</v>
      </c>
      <c r="I23" s="7">
        <v>1000.00102055937</v>
      </c>
      <c r="J23" s="7">
        <v>999.763919825197</v>
      </c>
      <c r="K23" s="8">
        <v>0.999986666666666</v>
      </c>
      <c r="L23" s="9">
        <v>1.9799736E7</v>
      </c>
      <c r="M23" s="10">
        <v>0.0361342676516722</v>
      </c>
      <c r="N23" s="11">
        <v>597.641455456092</v>
      </c>
      <c r="O23" s="11">
        <v>300.365315193353</v>
      </c>
      <c r="P23" s="12" t="str">
        <f>IF(OR(B23&gt;virtual_limite_lat_mean_s, M23&gt;virtual_limite_superior_cpu, M23&lt;virtual_limite_inferior_cpu, N23 &gt; virtual_limite_memoria, O23 &gt; virtual_limite_heap ), "OUTLIER", "OK")
</f>
        <v>OK</v>
      </c>
    </row>
    <row r="24">
      <c r="A24" s="6">
        <v>46.0</v>
      </c>
      <c r="B24" s="7">
        <v>0.116445897</v>
      </c>
      <c r="C24" s="7">
        <v>0.110527042</v>
      </c>
      <c r="D24" s="7">
        <v>0.129837725</v>
      </c>
      <c r="E24" s="7">
        <v>0.144913037</v>
      </c>
      <c r="F24" s="7">
        <v>0.20894931</v>
      </c>
      <c r="G24" s="7">
        <v>1.254154763</v>
      </c>
      <c r="H24" s="6">
        <v>600000.0</v>
      </c>
      <c r="I24" s="7">
        <v>1000.00178249151</v>
      </c>
      <c r="J24" s="7">
        <v>999.781237150989</v>
      </c>
      <c r="K24" s="8">
        <v>1.0</v>
      </c>
      <c r="L24" s="9">
        <v>1.98E7</v>
      </c>
      <c r="M24" s="10">
        <v>0.0355613182257525</v>
      </c>
      <c r="N24" s="11">
        <v>325.274064204131</v>
      </c>
      <c r="O24" s="11">
        <v>93.7516225256571</v>
      </c>
      <c r="P24" s="12" t="str">
        <f>IF(OR(B24&gt;virtual_limite_lat_mean_s, M24&gt;virtual_limite_superior_cpu, M24&lt;virtual_limite_inferior_cpu, N24 &gt; virtual_limite_memoria, O24 &gt; virtual_limite_heap ), "OUTLIER", "OK")
</f>
        <v>OK</v>
      </c>
    </row>
    <row r="25">
      <c r="A25" s="6">
        <v>48.0</v>
      </c>
      <c r="B25" s="7">
        <v>0.112795295</v>
      </c>
      <c r="C25" s="7">
        <v>0.109258783</v>
      </c>
      <c r="D25" s="7">
        <v>0.121071798</v>
      </c>
      <c r="E25" s="7">
        <v>0.130742079</v>
      </c>
      <c r="F25" s="7">
        <v>0.171443283</v>
      </c>
      <c r="G25" s="7">
        <v>0.357163254</v>
      </c>
      <c r="H25" s="6">
        <v>600000.0</v>
      </c>
      <c r="I25" s="7">
        <v>1000.00113235294</v>
      </c>
      <c r="J25" s="7">
        <v>999.82030002955</v>
      </c>
      <c r="K25" s="8">
        <v>1.0</v>
      </c>
      <c r="L25" s="9">
        <v>1.98E7</v>
      </c>
      <c r="M25" s="10">
        <v>0.0354808312876254</v>
      </c>
      <c r="N25" s="11">
        <v>689.454184167572</v>
      </c>
      <c r="O25" s="11">
        <v>278.745295091108</v>
      </c>
      <c r="P25" s="12" t="str">
        <f>IF(OR(B25&gt;virtual_limite_lat_mean_s, M25&gt;virtual_limite_superior_cpu, M25&lt;virtual_limite_inferior_cpu, N25 &gt; virtual_limite_memoria, O25 &gt; virtual_limite_heap ), "OUTLIER", "OK")
</f>
        <v>OK</v>
      </c>
    </row>
    <row r="26">
      <c r="A26" s="6">
        <v>50.0</v>
      </c>
      <c r="B26" s="7">
        <v>0.20140883</v>
      </c>
      <c r="C26" s="7">
        <v>0.111203945</v>
      </c>
      <c r="D26" s="7">
        <v>0.161611376</v>
      </c>
      <c r="E26" s="7">
        <v>0.378609068</v>
      </c>
      <c r="F26" s="7">
        <v>2.514814476</v>
      </c>
      <c r="G26" s="7">
        <v>40.148690464</v>
      </c>
      <c r="H26" s="6">
        <v>600000.0</v>
      </c>
      <c r="I26" s="7">
        <v>1000.00044500853</v>
      </c>
      <c r="J26" s="7">
        <v>999.790294434411</v>
      </c>
      <c r="K26" s="8">
        <v>0.999971666666666</v>
      </c>
      <c r="L26" s="9">
        <v>1.9799439E7</v>
      </c>
      <c r="M26" s="10">
        <v>0.0357941074021739</v>
      </c>
      <c r="N26" s="11">
        <v>530.116743598836</v>
      </c>
      <c r="O26" s="11">
        <v>250.299534685029</v>
      </c>
      <c r="P26" s="12" t="str">
        <f>IF(OR(B26&gt;virtual_limite_lat_mean_s, M26&gt;virtual_limite_superior_cpu, M26&lt;virtual_limite_inferior_cpu, N26 &gt; virtual_limite_memoria, O26 &gt; virtual_limite_heap ), "OUTLIER", "OK")
</f>
        <v>OK</v>
      </c>
    </row>
    <row r="27">
      <c r="A27" s="6">
        <v>52.0</v>
      </c>
      <c r="B27" s="7">
        <v>0.136081472</v>
      </c>
      <c r="C27" s="7">
        <v>0.111351518</v>
      </c>
      <c r="D27" s="7">
        <v>0.149484285</v>
      </c>
      <c r="E27" s="7">
        <v>0.21050375</v>
      </c>
      <c r="F27" s="7">
        <v>0.680533685</v>
      </c>
      <c r="G27" s="7">
        <v>4.821936891</v>
      </c>
      <c r="H27" s="6">
        <v>600000.0</v>
      </c>
      <c r="I27" s="7">
        <v>1000.00121805815</v>
      </c>
      <c r="J27" s="7">
        <v>999.82266553309</v>
      </c>
      <c r="K27" s="8">
        <v>1.0</v>
      </c>
      <c r="L27" s="9">
        <v>1.98E7</v>
      </c>
      <c r="M27" s="10">
        <v>0.0355684997916387</v>
      </c>
      <c r="N27" s="11">
        <v>438.110323302534</v>
      </c>
      <c r="O27" s="11">
        <v>170.187455649997</v>
      </c>
      <c r="P27" s="12" t="str">
        <f>IF(OR(B27&gt;virtual_limite_lat_mean_s, M27&gt;virtual_limite_superior_cpu, M27&lt;virtual_limite_inferior_cpu, N27 &gt; virtual_limite_memoria, O27 &gt; virtual_limite_heap ), "OUTLIER", "OK")
</f>
        <v>OK</v>
      </c>
    </row>
    <row r="28">
      <c r="A28" s="6">
        <v>54.0</v>
      </c>
      <c r="B28" s="7">
        <v>0.159285252</v>
      </c>
      <c r="C28" s="7">
        <v>0.110406895</v>
      </c>
      <c r="D28" s="7">
        <v>0.144926147</v>
      </c>
      <c r="E28" s="7">
        <v>0.212635292</v>
      </c>
      <c r="F28" s="7">
        <v>1.535640291</v>
      </c>
      <c r="G28" s="7">
        <v>8.192894382</v>
      </c>
      <c r="H28" s="6">
        <v>600000.0</v>
      </c>
      <c r="I28" s="7">
        <v>1000.00139215027</v>
      </c>
      <c r="J28" s="7">
        <v>999.820974869069</v>
      </c>
      <c r="K28" s="8">
        <v>1.0</v>
      </c>
      <c r="L28" s="9">
        <v>1.98E7</v>
      </c>
      <c r="M28" s="10">
        <v>0.0386381379192307</v>
      </c>
      <c r="N28" s="11">
        <v>327.152941611453</v>
      </c>
      <c r="O28" s="11">
        <v>93.9656480874392</v>
      </c>
      <c r="P28" s="12" t="str">
        <f>IF(OR(B28&gt;virtual_limite_lat_mean_s, M28&gt;virtual_limite_superior_cpu, M28&lt;virtual_limite_inferior_cpu, N28 &gt; virtual_limite_memoria, O28 &gt; virtual_limite_heap ), "OUTLIER", "OK")
</f>
        <v>OK</v>
      </c>
    </row>
    <row r="29">
      <c r="A29" s="6">
        <v>56.0</v>
      </c>
      <c r="B29" s="7">
        <v>0.190986245</v>
      </c>
      <c r="C29" s="7">
        <v>0.109860921</v>
      </c>
      <c r="D29" s="7">
        <v>0.136086525</v>
      </c>
      <c r="E29" s="7">
        <v>0.176838361</v>
      </c>
      <c r="F29" s="7">
        <v>2.836587993</v>
      </c>
      <c r="G29" s="7">
        <v>17.979167047</v>
      </c>
      <c r="H29" s="6">
        <v>600000.0</v>
      </c>
      <c r="I29" s="7">
        <v>1000.00171880128</v>
      </c>
      <c r="J29" s="7">
        <v>999.430439034771</v>
      </c>
      <c r="K29" s="8">
        <v>0.999605</v>
      </c>
      <c r="L29" s="9">
        <v>1.9792179E7</v>
      </c>
      <c r="M29" s="10">
        <v>0.0371168920894648</v>
      </c>
      <c r="N29" s="11">
        <v>415.902125427042</v>
      </c>
      <c r="O29" s="11">
        <v>98.5333006986931</v>
      </c>
      <c r="P29" s="12" t="str">
        <f>IF(OR(B29&gt;virtual_limite_lat_mean_s, M29&gt;virtual_limite_superior_cpu, M29&lt;virtual_limite_inferior_cpu, N29 &gt; virtual_limite_memoria, O29 &gt; virtual_limite_heap ), "OUTLIER", "OK")
</f>
        <v>OK</v>
      </c>
    </row>
    <row r="30">
      <c r="A30" s="6">
        <v>58.0</v>
      </c>
      <c r="B30" s="7">
        <v>0.159254364</v>
      </c>
      <c r="C30" s="7">
        <v>0.10862898</v>
      </c>
      <c r="D30" s="7">
        <v>0.122271814</v>
      </c>
      <c r="E30" s="7">
        <v>0.139071188</v>
      </c>
      <c r="F30" s="7">
        <v>1.828304059</v>
      </c>
      <c r="G30" s="7">
        <v>15.874730261</v>
      </c>
      <c r="H30" s="6">
        <v>600000.0</v>
      </c>
      <c r="I30" s="7">
        <v>1000.00113270961</v>
      </c>
      <c r="J30" s="7">
        <v>996.297275921096</v>
      </c>
      <c r="K30" s="8">
        <v>0.999986666666666</v>
      </c>
      <c r="L30" s="9">
        <v>1.9799736E7</v>
      </c>
      <c r="M30" s="10">
        <v>0.0356745874416666</v>
      </c>
      <c r="N30" s="11">
        <v>690.165205893619</v>
      </c>
      <c r="O30" s="11">
        <v>297.598482529322</v>
      </c>
      <c r="P30" s="12" t="str">
        <f>IF(OR(B30&gt;virtual_limite_lat_mean_s, M30&gt;virtual_limite_superior_cpu, M30&lt;virtual_limite_inferior_cpu, N30 &gt; virtual_limite_memoria, O30 &gt; virtual_limite_heap ), "OUTLIER", "OK")
</f>
        <v>OK</v>
      </c>
    </row>
    <row r="31">
      <c r="A31" s="6">
        <v>60.0</v>
      </c>
      <c r="B31" s="7">
        <v>0.969446259</v>
      </c>
      <c r="C31" s="7">
        <v>0.108061526</v>
      </c>
      <c r="D31" s="7">
        <v>0.127189969</v>
      </c>
      <c r="E31" s="7">
        <v>5.005870246</v>
      </c>
      <c r="F31" s="7">
        <v>23.65564813</v>
      </c>
      <c r="G31" s="7">
        <v>70.001347062</v>
      </c>
      <c r="H31" s="6">
        <v>600000.0</v>
      </c>
      <c r="I31" s="7">
        <v>1000.00127999997</v>
      </c>
      <c r="J31" s="7">
        <v>989.636759830692</v>
      </c>
      <c r="K31" s="8">
        <v>0.98982</v>
      </c>
      <c r="L31" s="9">
        <v>1.9598436E7</v>
      </c>
      <c r="M31" s="10">
        <v>0.0380238706103678</v>
      </c>
      <c r="N31" s="11">
        <v>702.33140448696</v>
      </c>
      <c r="O31" s="11">
        <v>122.002845420656</v>
      </c>
      <c r="P31" s="12" t="str">
        <f>IF(OR(B31&gt;virtual_limite_lat_mean_s, M31&gt;virtual_limite_superior_cpu, M31&lt;virtual_limite_inferior_cpu, N31 &gt; virtual_limite_memoria, O31 &gt; virtual_limite_heap ), "OUTLIER", "OK")
</f>
        <v>OUTLIER</v>
      </c>
    </row>
    <row r="32">
      <c r="A32" s="6">
        <v>62.0</v>
      </c>
      <c r="B32" s="7">
        <v>0.109934616</v>
      </c>
      <c r="C32" s="7">
        <v>0.108068029</v>
      </c>
      <c r="D32" s="7">
        <v>0.115950292</v>
      </c>
      <c r="E32" s="7">
        <v>0.121063234</v>
      </c>
      <c r="F32" s="7">
        <v>0.13652753</v>
      </c>
      <c r="G32" s="7">
        <v>0.314031549</v>
      </c>
      <c r="H32" s="6">
        <v>600000.0</v>
      </c>
      <c r="I32" s="7">
        <v>1000.00106882447</v>
      </c>
      <c r="J32" s="7">
        <v>999.820826175679</v>
      </c>
      <c r="K32" s="8">
        <v>1.0</v>
      </c>
      <c r="L32" s="9">
        <v>1.98E7</v>
      </c>
      <c r="M32" s="10">
        <v>0.0383197498428093</v>
      </c>
      <c r="N32" s="11">
        <v>240.117416195558</v>
      </c>
      <c r="O32" s="11">
        <v>54.1990847734827</v>
      </c>
      <c r="P32" s="12" t="str">
        <f>IF(OR(B32&gt;virtual_limite_lat_mean_s, M32&gt;virtual_limite_superior_cpu, M32&lt;virtual_limite_inferior_cpu, N32 &gt; virtual_limite_memoria, O32 &gt; virtual_limite_heap ), "OUTLIER", "OK")
</f>
        <v>OK</v>
      </c>
    </row>
    <row r="33">
      <c r="A33" s="6">
        <v>64.0</v>
      </c>
      <c r="B33" s="7">
        <v>0.167188239</v>
      </c>
      <c r="C33" s="7">
        <v>0.108658087</v>
      </c>
      <c r="D33" s="7">
        <v>0.13386818</v>
      </c>
      <c r="E33" s="7">
        <v>0.269275051</v>
      </c>
      <c r="F33" s="7">
        <v>1.752252693</v>
      </c>
      <c r="G33" s="7">
        <v>13.296849704</v>
      </c>
      <c r="H33" s="6">
        <v>600000.0</v>
      </c>
      <c r="I33" s="7">
        <v>1000.00135930018</v>
      </c>
      <c r="J33" s="7">
        <v>999.815157687565</v>
      </c>
      <c r="K33" s="8">
        <v>0.99999</v>
      </c>
      <c r="L33" s="9">
        <v>1.9799802E7</v>
      </c>
      <c r="M33" s="10">
        <v>0.0372727367056856</v>
      </c>
      <c r="N33" s="11">
        <v>422.336021749722</v>
      </c>
      <c r="O33" s="11">
        <v>147.218243950828</v>
      </c>
      <c r="P33" s="12" t="str">
        <f>IF(OR(B33&gt;virtual_limite_lat_mean_s, M33&gt;virtual_limite_superior_cpu, M33&lt;virtual_limite_inferior_cpu, N33 &gt; virtual_limite_memoria, O33 &gt; virtual_limite_heap ), "OUTLIER", "OK")
</f>
        <v>OK</v>
      </c>
    </row>
    <row r="34">
      <c r="A34" s="6">
        <v>66.0</v>
      </c>
      <c r="B34" s="7">
        <v>0.110491713</v>
      </c>
      <c r="C34" s="7">
        <v>0.108359638</v>
      </c>
      <c r="D34" s="7">
        <v>0.11638752</v>
      </c>
      <c r="E34" s="7">
        <v>0.121652307</v>
      </c>
      <c r="F34" s="7">
        <v>0.14085589</v>
      </c>
      <c r="G34" s="7">
        <v>0.446520654</v>
      </c>
      <c r="H34" s="6">
        <v>599999.0</v>
      </c>
      <c r="I34" s="7">
        <v>1000.00012592522</v>
      </c>
      <c r="J34" s="7">
        <v>999.816007187873</v>
      </c>
      <c r="K34" s="8">
        <v>1.0</v>
      </c>
      <c r="L34" s="9">
        <v>1.9799967E7</v>
      </c>
      <c r="M34" s="10">
        <v>0.0382900717040133</v>
      </c>
      <c r="N34" s="11">
        <v>252.59217409379</v>
      </c>
      <c r="O34" s="11">
        <v>54.7979176495526</v>
      </c>
      <c r="P34" s="12" t="str">
        <f>IF(OR(B34&gt;virtual_limite_lat_mean_s, M34&gt;virtual_limite_superior_cpu, M34&lt;virtual_limite_inferior_cpu, N34 &gt; virtual_limite_memoria, O34 &gt; virtual_limite_heap ), "OUTLIER", "OK")
</f>
        <v>OK</v>
      </c>
    </row>
    <row r="35">
      <c r="A35" s="6">
        <v>68.0</v>
      </c>
      <c r="B35" s="7">
        <v>0.11149579</v>
      </c>
      <c r="C35" s="7">
        <v>0.109038941</v>
      </c>
      <c r="D35" s="7">
        <v>0.11759249</v>
      </c>
      <c r="E35" s="7">
        <v>0.122841989</v>
      </c>
      <c r="F35" s="7">
        <v>0.145560932</v>
      </c>
      <c r="G35" s="7">
        <v>0.468406902</v>
      </c>
      <c r="H35" s="6">
        <v>600000.0</v>
      </c>
      <c r="I35" s="7">
        <v>1000.0000598662</v>
      </c>
      <c r="J35" s="7">
        <v>999.819858121943</v>
      </c>
      <c r="K35" s="8">
        <v>1.0</v>
      </c>
      <c r="L35" s="9">
        <v>1.98E7</v>
      </c>
      <c r="M35" s="10">
        <v>0.0377993269849498</v>
      </c>
      <c r="N35" s="11">
        <v>266.347859535472</v>
      </c>
      <c r="O35" s="11">
        <v>67.4387723303301</v>
      </c>
      <c r="P35" s="12" t="str">
        <f>IF(OR(B35&gt;virtual_limite_lat_mean_s, M35&gt;virtual_limite_superior_cpu, M35&lt;virtual_limite_inferior_cpu, N35 &gt; virtual_limite_memoria, O35 &gt; virtual_limite_heap ), "OUTLIER", "OK")
</f>
        <v>OK</v>
      </c>
    </row>
    <row r="36">
      <c r="A36" s="6">
        <v>70.0</v>
      </c>
      <c r="B36" s="7">
        <v>0.131670109</v>
      </c>
      <c r="C36" s="7">
        <v>0.109273525</v>
      </c>
      <c r="D36" s="7">
        <v>0.135261286</v>
      </c>
      <c r="E36" s="7">
        <v>0.258875073</v>
      </c>
      <c r="F36" s="7">
        <v>0.60517779</v>
      </c>
      <c r="G36" s="7">
        <v>2.973716789</v>
      </c>
      <c r="H36" s="6">
        <v>600000.0</v>
      </c>
      <c r="I36" s="7">
        <v>1000.00056159364</v>
      </c>
      <c r="J36" s="7">
        <v>998.967687453767</v>
      </c>
      <c r="K36" s="8">
        <v>1.0</v>
      </c>
      <c r="L36" s="9">
        <v>1.98E7</v>
      </c>
      <c r="M36" s="10">
        <v>0.0371624282983277</v>
      </c>
      <c r="N36" s="11">
        <v>446.292774498164</v>
      </c>
      <c r="O36" s="11">
        <v>183.776799186827</v>
      </c>
      <c r="P36" s="12" t="str">
        <f>IF(OR(B36&gt;virtual_limite_lat_mean_s, M36&gt;virtual_limite_superior_cpu, M36&lt;virtual_limite_inferior_cpu, N36 &gt; virtual_limite_memoria, O36 &gt; virtual_limite_heap ), "OUTLIER", "OK")
</f>
        <v>OK</v>
      </c>
    </row>
    <row r="37">
      <c r="A37" s="6">
        <v>72.0</v>
      </c>
      <c r="B37" s="7">
        <v>1.722521316</v>
      </c>
      <c r="C37" s="7">
        <v>0.111460397</v>
      </c>
      <c r="D37" s="7">
        <v>3.169119111</v>
      </c>
      <c r="E37" s="7">
        <v>10.159557879</v>
      </c>
      <c r="F37" s="7">
        <v>34.352193351</v>
      </c>
      <c r="G37" s="7">
        <v>70.47398171</v>
      </c>
      <c r="H37" s="6">
        <v>600000.0</v>
      </c>
      <c r="I37" s="7">
        <v>1000.00138720359</v>
      </c>
      <c r="J37" s="7">
        <v>983.003503498963</v>
      </c>
      <c r="K37" s="8">
        <v>0.983176666666666</v>
      </c>
      <c r="L37" s="9">
        <v>1.9466898E7</v>
      </c>
      <c r="M37" s="10">
        <v>0.0363095879533444</v>
      </c>
      <c r="N37" s="11">
        <v>886.884958187606</v>
      </c>
      <c r="O37" s="11">
        <v>368.991305737882</v>
      </c>
      <c r="P37" s="12" t="str">
        <f>IF(OR(B37&gt;virtual_limite_lat_mean_s, M37&gt;virtual_limite_superior_cpu, M37&lt;virtual_limite_inferior_cpu, N37 &gt; virtual_limite_memoria, O37 &gt; virtual_limite_heap ), "OUTLIER", "OK")
</f>
        <v>OUTLIER</v>
      </c>
    </row>
    <row r="38">
      <c r="A38" s="6">
        <v>74.0</v>
      </c>
      <c r="B38" s="7">
        <v>57.072132158</v>
      </c>
      <c r="C38" s="7">
        <v>42.954531782</v>
      </c>
      <c r="D38" s="7">
        <v>135.193918691</v>
      </c>
      <c r="E38" s="7">
        <v>171.265689063</v>
      </c>
      <c r="F38" s="7">
        <v>210.584611927</v>
      </c>
      <c r="G38" s="7">
        <v>280.796285816</v>
      </c>
      <c r="H38" s="6">
        <v>599716.0</v>
      </c>
      <c r="I38" s="7">
        <v>997.704672640712</v>
      </c>
      <c r="J38" s="7">
        <v>489.328368654074</v>
      </c>
      <c r="K38" s="8">
        <v>0.545916733920722</v>
      </c>
      <c r="L38" s="9">
        <v>1.0804035E7</v>
      </c>
      <c r="M38" s="10">
        <v>0.0285182285361319</v>
      </c>
      <c r="N38" s="11">
        <v>372.259324018112</v>
      </c>
      <c r="O38" s="11">
        <v>80.8352570314287</v>
      </c>
      <c r="P38" s="12" t="str">
        <f>IF(OR(B38&gt;virtual_limite_lat_mean_s, M38&gt;virtual_limite_superior_cpu, M38&lt;virtual_limite_inferior_cpu, N38 &gt; virtual_limite_memoria, O38 &gt; virtual_limite_heap ), "OUTLIER", "OK")
</f>
        <v>OUTLIER</v>
      </c>
    </row>
    <row r="39">
      <c r="A39" s="6">
        <v>76.0</v>
      </c>
      <c r="B39" s="7">
        <v>1.859744451</v>
      </c>
      <c r="C39" s="7">
        <v>0.115549319</v>
      </c>
      <c r="D39" s="7">
        <v>2.847297648</v>
      </c>
      <c r="E39" s="7">
        <v>10.577836296</v>
      </c>
      <c r="F39" s="7">
        <v>39.28951954</v>
      </c>
      <c r="G39" s="7">
        <v>70.076096146</v>
      </c>
      <c r="H39" s="6">
        <v>600000.0</v>
      </c>
      <c r="I39" s="7">
        <v>1000.0014516921</v>
      </c>
      <c r="J39" s="7">
        <v>983.31794407768</v>
      </c>
      <c r="K39" s="8">
        <v>0.983498333333333</v>
      </c>
      <c r="L39" s="9">
        <v>1.9473267E7</v>
      </c>
      <c r="M39" s="10">
        <v>0.0355634178730769</v>
      </c>
      <c r="N39" s="11">
        <v>977.498491742575</v>
      </c>
      <c r="O39" s="11">
        <v>451.052759882229</v>
      </c>
      <c r="P39" s="12" t="str">
        <f>IF(OR(B39&gt;virtual_limite_lat_mean_s, M39&gt;virtual_limite_superior_cpu, M39&lt;virtual_limite_inferior_cpu, N39 &gt; virtual_limite_memoria, O39 &gt; virtual_limite_heap ), "OUTLIER", "OK")
</f>
        <v>OUTLIER</v>
      </c>
    </row>
    <row r="40">
      <c r="A40" s="6">
        <v>78.0</v>
      </c>
      <c r="B40" s="7">
        <v>0.115825681</v>
      </c>
      <c r="C40" s="7">
        <v>0.111203484</v>
      </c>
      <c r="D40" s="7">
        <v>0.128304727</v>
      </c>
      <c r="E40" s="7">
        <v>0.139246085</v>
      </c>
      <c r="F40" s="7">
        <v>0.191991016</v>
      </c>
      <c r="G40" s="7">
        <v>0.467422128</v>
      </c>
      <c r="H40" s="6">
        <v>600000.0</v>
      </c>
      <c r="I40" s="7">
        <v>1000.00113759629</v>
      </c>
      <c r="J40" s="7">
        <v>999.826892506392</v>
      </c>
      <c r="K40" s="8">
        <v>1.0</v>
      </c>
      <c r="L40" s="9">
        <v>1.98E7</v>
      </c>
      <c r="M40" s="10">
        <v>0.0349106136856187</v>
      </c>
      <c r="N40" s="11">
        <v>491.243607844255</v>
      </c>
      <c r="O40" s="11">
        <v>204.617246411063</v>
      </c>
      <c r="P40" s="12" t="str">
        <f>IF(OR(B40&gt;virtual_limite_lat_mean_s, M40&gt;virtual_limite_superior_cpu, M40&lt;virtual_limite_inferior_cpu, N40 &gt; virtual_limite_memoria, O40 &gt; virtual_limite_heap ), "OUTLIER", "OK")
</f>
        <v>OK</v>
      </c>
    </row>
    <row r="41">
      <c r="A41" s="6">
        <v>80.0</v>
      </c>
      <c r="B41" s="7">
        <v>0.154045865</v>
      </c>
      <c r="C41" s="7">
        <v>0.112152818</v>
      </c>
      <c r="D41" s="7">
        <v>0.141952945</v>
      </c>
      <c r="E41" s="7">
        <v>0.177260063</v>
      </c>
      <c r="F41" s="7">
        <v>1.453526795</v>
      </c>
      <c r="G41" s="7">
        <v>10.983787028</v>
      </c>
      <c r="H41" s="6">
        <v>600000.0</v>
      </c>
      <c r="I41" s="7">
        <v>1000.00117287137</v>
      </c>
      <c r="J41" s="7">
        <v>999.811222751911</v>
      </c>
      <c r="K41" s="8">
        <v>1.0</v>
      </c>
      <c r="L41" s="9">
        <v>1.98E7</v>
      </c>
      <c r="M41" s="10">
        <v>0.0367822402976588</v>
      </c>
      <c r="N41" s="11">
        <v>321.278467705333</v>
      </c>
      <c r="O41" s="11">
        <v>94.9996336438664</v>
      </c>
      <c r="P41" s="12" t="str">
        <f>IF(OR(B41&gt;virtual_limite_lat_mean_s, M41&gt;virtual_limite_superior_cpu, M41&lt;virtual_limite_inferior_cpu, N41 &gt; virtual_limite_memoria, O41 &gt; virtual_limite_heap ), "OUTLIER", "OK")
</f>
        <v>OK</v>
      </c>
    </row>
    <row r="42">
      <c r="A42" s="6">
        <v>82.0</v>
      </c>
      <c r="B42" s="7">
        <v>0.122625092</v>
      </c>
      <c r="C42" s="7">
        <v>0.108907538</v>
      </c>
      <c r="D42" s="7">
        <v>0.123833842</v>
      </c>
      <c r="E42" s="7">
        <v>0.138243177</v>
      </c>
      <c r="F42" s="7">
        <v>0.418200096</v>
      </c>
      <c r="G42" s="7">
        <v>5.787904534</v>
      </c>
      <c r="H42" s="6">
        <v>600000.0</v>
      </c>
      <c r="I42" s="7">
        <v>1000.00155925409</v>
      </c>
      <c r="J42" s="7">
        <v>999.824223141269</v>
      </c>
      <c r="K42" s="8">
        <v>1.0</v>
      </c>
      <c r="L42" s="9">
        <v>1.98E7</v>
      </c>
      <c r="M42" s="10">
        <v>0.0357071219242474</v>
      </c>
      <c r="N42" s="11">
        <v>356.344212594135</v>
      </c>
      <c r="O42" s="11">
        <v>119.669113978633</v>
      </c>
      <c r="P42" s="12" t="str">
        <f>IF(OR(B42&gt;virtual_limite_lat_mean_s, M42&gt;virtual_limite_superior_cpu, M42&lt;virtual_limite_inferior_cpu, N42 &gt; virtual_limite_memoria, O42 &gt; virtual_limite_heap ), "OUTLIER", "OK")
</f>
        <v>OK</v>
      </c>
    </row>
    <row r="43">
      <c r="A43" s="6">
        <v>84.0</v>
      </c>
      <c r="B43" s="7">
        <v>0.282572396</v>
      </c>
      <c r="C43" s="7">
        <v>0.110948822</v>
      </c>
      <c r="D43" s="7">
        <v>0.161401375</v>
      </c>
      <c r="E43" s="7">
        <v>0.466476022</v>
      </c>
      <c r="F43" s="7">
        <v>5.76928349</v>
      </c>
      <c r="G43" s="7">
        <v>27.2078798</v>
      </c>
      <c r="H43" s="6">
        <v>600000.0</v>
      </c>
      <c r="I43" s="7">
        <v>1000.00127240328</v>
      </c>
      <c r="J43" s="7">
        <v>998.67699630616</v>
      </c>
      <c r="K43" s="8">
        <v>0.998863333333333</v>
      </c>
      <c r="L43" s="9">
        <v>1.9777494E7</v>
      </c>
      <c r="M43" s="10">
        <v>0.0369650484827759</v>
      </c>
      <c r="N43" s="11">
        <v>522.155823083473</v>
      </c>
      <c r="O43" s="11">
        <v>217.730805929605</v>
      </c>
      <c r="P43" s="12" t="str">
        <f>IF(OR(B43&gt;virtual_limite_lat_mean_s, M43&gt;virtual_limite_superior_cpu, M43&lt;virtual_limite_inferior_cpu, N43 &gt; virtual_limite_memoria, O43 &gt; virtual_limite_heap ), "OUTLIER", "OK")
</f>
        <v>OK</v>
      </c>
    </row>
    <row r="44">
      <c r="A44" s="6">
        <v>86.0</v>
      </c>
      <c r="B44" s="7">
        <v>16.041569859</v>
      </c>
      <c r="C44" s="7">
        <v>0.128680887</v>
      </c>
      <c r="D44" s="7">
        <v>63.762974</v>
      </c>
      <c r="E44" s="7">
        <v>80.534667163</v>
      </c>
      <c r="F44" s="7">
        <v>105.600867218</v>
      </c>
      <c r="G44" s="7">
        <v>165.759012476</v>
      </c>
      <c r="H44" s="6">
        <v>599074.0</v>
      </c>
      <c r="I44" s="7">
        <v>998.069941736697</v>
      </c>
      <c r="J44" s="7">
        <v>747.81867551294</v>
      </c>
      <c r="K44" s="8">
        <v>0.835833302730547</v>
      </c>
      <c r="L44" s="9">
        <v>1.6523958E7</v>
      </c>
      <c r="M44" s="10">
        <v>0.0377035620133433</v>
      </c>
      <c r="N44" s="11">
        <v>431.364434424988</v>
      </c>
      <c r="O44" s="11">
        <v>130.626505761776</v>
      </c>
      <c r="P44" s="12" t="str">
        <f>IF(OR(B44&gt;virtual_limite_lat_mean_s, M44&gt;virtual_limite_superior_cpu, M44&lt;virtual_limite_inferior_cpu, N44 &gt; virtual_limite_memoria, O44 &gt; virtual_limite_heap ), "OUTLIER", "OK")
</f>
        <v>OUTLIER</v>
      </c>
      <c r="Q44" s="13"/>
    </row>
    <row r="45">
      <c r="A45" s="6">
        <v>88.0</v>
      </c>
      <c r="B45" s="7">
        <v>0.133649697</v>
      </c>
      <c r="C45" s="7">
        <v>0.110193406</v>
      </c>
      <c r="D45" s="7">
        <v>0.139384321</v>
      </c>
      <c r="E45" s="7">
        <v>0.184778965</v>
      </c>
      <c r="F45" s="7">
        <v>0.685093617</v>
      </c>
      <c r="G45" s="7">
        <v>5.667396609</v>
      </c>
      <c r="H45" s="6">
        <v>600000.0</v>
      </c>
      <c r="I45" s="7">
        <v>1000.00093804254</v>
      </c>
      <c r="J45" s="7">
        <v>999.827145410541</v>
      </c>
      <c r="K45" s="8">
        <v>1.0</v>
      </c>
      <c r="L45" s="9">
        <v>1.98E7</v>
      </c>
      <c r="M45" s="10">
        <v>0.0360391693377926</v>
      </c>
      <c r="N45" s="11">
        <v>627.991252205009</v>
      </c>
      <c r="O45" s="11">
        <v>289.746444157191</v>
      </c>
      <c r="P45" s="12" t="str">
        <f>IF(OR(B45&gt;virtual_limite_lat_mean_s, M45&gt;virtual_limite_superior_cpu, M45&lt;virtual_limite_inferior_cpu, N45 &gt; virtual_limite_memoria, O45 &gt; virtual_limite_heap ), "OUTLIER", "OK")
</f>
        <v>OK</v>
      </c>
    </row>
    <row r="46">
      <c r="A46" s="6">
        <v>90.0</v>
      </c>
      <c r="B46" s="7">
        <v>84.107554591</v>
      </c>
      <c r="C46" s="7">
        <v>78.254848642</v>
      </c>
      <c r="D46" s="7">
        <v>136.835157798</v>
      </c>
      <c r="E46" s="7">
        <v>171.013487843</v>
      </c>
      <c r="F46" s="7">
        <v>208.747974046</v>
      </c>
      <c r="G46" s="7">
        <v>313.857289577</v>
      </c>
      <c r="H46" s="6">
        <v>597125.0</v>
      </c>
      <c r="I46" s="7">
        <v>992.465882308408</v>
      </c>
      <c r="J46" s="7">
        <v>274.501145869632</v>
      </c>
      <c r="K46" s="8">
        <v>0.299722838601632</v>
      </c>
      <c r="L46" s="9">
        <v>5906076.0</v>
      </c>
      <c r="M46" s="10">
        <v>0.0385136064584615</v>
      </c>
      <c r="N46" s="11">
        <v>654.209692874445</v>
      </c>
      <c r="O46" s="11">
        <v>322.909422132704</v>
      </c>
      <c r="P46" s="12" t="str">
        <f>IF(OR(B46&gt;virtual_limite_lat_mean_s, M46&gt;virtual_limite_superior_cpu, M46&lt;virtual_limite_inferior_cpu, N46 &gt; virtual_limite_memoria, O46 &gt; virtual_limite_heap ), "OUTLIER", "OK")
</f>
        <v>OUTLIER</v>
      </c>
    </row>
    <row r="47">
      <c r="A47" s="14">
        <v>92.0</v>
      </c>
      <c r="B47" s="15">
        <v>0.186181622</v>
      </c>
      <c r="C47" s="15">
        <v>0.108716159</v>
      </c>
      <c r="D47" s="15">
        <v>0.239119896</v>
      </c>
      <c r="E47" s="15">
        <v>0.542747024</v>
      </c>
      <c r="F47" s="15">
        <v>1.827569146</v>
      </c>
      <c r="G47" s="15">
        <v>8.621272337</v>
      </c>
      <c r="H47" s="14">
        <v>600000.0</v>
      </c>
      <c r="I47" s="15">
        <v>1000.00201578406</v>
      </c>
      <c r="J47" s="15">
        <v>998.703586497515</v>
      </c>
      <c r="K47" s="16">
        <v>0.999995</v>
      </c>
      <c r="L47" s="17">
        <v>1.9799901E7</v>
      </c>
      <c r="M47" s="18">
        <v>0.0394809773448275</v>
      </c>
      <c r="N47" s="19">
        <v>230.334739016737</v>
      </c>
      <c r="O47" s="11">
        <v>463.895443810357</v>
      </c>
      <c r="P47" s="12" t="str">
        <f>IF(OR(B47&gt;virtual_limite_lat_mean_s, M47&gt;virtual_limite_superior_cpu, M47&lt;virtual_limite_inferior_cpu, N47 &gt; virtual_limite_memoria, O47 &gt; virtual_limite_heap ), "OUTLIER", "OK")
</f>
        <v>OUTLIER</v>
      </c>
    </row>
    <row r="48">
      <c r="A48" s="14">
        <v>94.0</v>
      </c>
      <c r="B48" s="15">
        <v>0.341115386</v>
      </c>
      <c r="C48" s="15">
        <v>0.109310006</v>
      </c>
      <c r="D48" s="15">
        <v>0.404779251</v>
      </c>
      <c r="E48" s="15">
        <v>1.265734481</v>
      </c>
      <c r="F48" s="15">
        <v>6.043262678</v>
      </c>
      <c r="G48" s="15">
        <v>27.453902833</v>
      </c>
      <c r="H48" s="14">
        <v>599999.0</v>
      </c>
      <c r="I48" s="15">
        <v>1000.00084615879</v>
      </c>
      <c r="J48" s="15">
        <v>999.153122124257</v>
      </c>
      <c r="K48" s="16">
        <v>0.999331665552776</v>
      </c>
      <c r="L48" s="17">
        <v>1.9786734E7</v>
      </c>
      <c r="M48" s="18">
        <v>0.0382121810509744</v>
      </c>
      <c r="N48" s="19">
        <v>669.02207986948</v>
      </c>
      <c r="O48" s="11">
        <v>170.389812469482</v>
      </c>
      <c r="P48" s="12" t="str">
        <f>IF(OR(B48&gt;virtual_limite_lat_mean_s, M48&gt;virtual_limite_superior_cpu, M48&lt;virtual_limite_inferior_cpu, N48 &gt; virtual_limite_memoria, O48 &gt; virtual_limite_heap ), "OUTLIER", "OK")
</f>
        <v>OK</v>
      </c>
    </row>
    <row r="49">
      <c r="A49" s="14">
        <v>96.0</v>
      </c>
      <c r="B49" s="15">
        <v>0.914042624</v>
      </c>
      <c r="C49" s="15">
        <v>0.111054291</v>
      </c>
      <c r="D49" s="15">
        <v>1.48333147</v>
      </c>
      <c r="E49" s="15">
        <v>4.452082522</v>
      </c>
      <c r="F49" s="15">
        <v>18.503658003</v>
      </c>
      <c r="G49" s="15">
        <v>70.029003506</v>
      </c>
      <c r="H49" s="14">
        <v>600000.0</v>
      </c>
      <c r="I49" s="15">
        <v>1000.00085908407</v>
      </c>
      <c r="J49" s="15">
        <v>995.081345876303</v>
      </c>
      <c r="K49" s="16">
        <v>0.995263333333333</v>
      </c>
      <c r="L49" s="17">
        <v>1.9706214E7</v>
      </c>
      <c r="M49" s="18">
        <v>0.0388707007811094</v>
      </c>
      <c r="N49" s="19">
        <v>261.369159234643</v>
      </c>
      <c r="O49" s="11">
        <v>634.511178823617</v>
      </c>
      <c r="P49" s="12" t="str">
        <f>IF(OR(B49&gt;virtual_limite_lat_mean_s, M49&gt;virtual_limite_superior_cpu, M49&lt;virtual_limite_inferior_cpu, N49 &gt; virtual_limite_memoria, O49 &gt; virtual_limite_heap ), "OUTLIER", "OK")
</f>
        <v>OUTLIER</v>
      </c>
    </row>
    <row r="50">
      <c r="A50" s="14">
        <v>98.0</v>
      </c>
      <c r="B50" s="15">
        <v>0.118668407</v>
      </c>
      <c r="C50" s="15">
        <v>0.109229171</v>
      </c>
      <c r="D50" s="15">
        <v>0.127796614</v>
      </c>
      <c r="E50" s="15">
        <v>0.149621203</v>
      </c>
      <c r="F50" s="15">
        <v>0.277190774</v>
      </c>
      <c r="G50" s="15">
        <v>3.197598872</v>
      </c>
      <c r="H50" s="14">
        <v>600000.0</v>
      </c>
      <c r="I50" s="15">
        <v>1000.00115230632</v>
      </c>
      <c r="J50" s="15">
        <v>999.821650529207</v>
      </c>
      <c r="K50" s="16">
        <v>1.0</v>
      </c>
      <c r="L50" s="17">
        <v>1.98E7</v>
      </c>
      <c r="M50" s="18">
        <v>0.0390057817826086</v>
      </c>
      <c r="N50" s="19">
        <v>248.982633097364</v>
      </c>
      <c r="O50" s="11">
        <v>572.999519348144</v>
      </c>
      <c r="P50" s="12" t="str">
        <f>IF(OR(B50&gt;virtual_limite_lat_mean_s, M50&gt;virtual_limite_superior_cpu, M50&lt;virtual_limite_inferior_cpu, N50 &gt; virtual_limite_memoria, O50 &gt; virtual_limite_heap ), "OUTLIER", "OK")
</f>
        <v>OUTLIER</v>
      </c>
    </row>
    <row r="51">
      <c r="A51" s="6">
        <v>100.0</v>
      </c>
      <c r="B51" s="7">
        <v>24.260381848</v>
      </c>
      <c r="C51" s="7">
        <v>1.134925548</v>
      </c>
      <c r="D51" s="7">
        <v>81.671292901</v>
      </c>
      <c r="E51" s="7">
        <v>90.900345905</v>
      </c>
      <c r="F51" s="7">
        <v>122.41964604</v>
      </c>
      <c r="G51" s="7">
        <v>192.25726401</v>
      </c>
      <c r="H51" s="6">
        <v>600000.0</v>
      </c>
      <c r="I51" s="7">
        <v>999.999870135016</v>
      </c>
      <c r="J51" s="7">
        <v>755.486507234893</v>
      </c>
      <c r="K51" s="8">
        <v>0.755685</v>
      </c>
      <c r="L51" s="9">
        <v>1.4962563E7</v>
      </c>
      <c r="M51" s="10">
        <v>0.0388309929505247</v>
      </c>
      <c r="N51" s="11">
        <v>615.480454138084</v>
      </c>
      <c r="O51" s="11">
        <v>153.852754865373</v>
      </c>
      <c r="P51" s="12" t="str">
        <f>IF(OR(B51&gt;virtual_limite_lat_mean_s, M51&gt;virtual_limite_superior_cpu, M51&lt;virtual_limite_inferior_cpu, N51 &gt; virtual_limite_memoria, O51 &gt; virtual_limite_heap ), "OUTLIER", "OK")
</f>
        <v>OUTLIER</v>
      </c>
    </row>
    <row r="52">
      <c r="A52" s="20"/>
    </row>
    <row r="54">
      <c r="A54" s="21" t="s">
        <v>0</v>
      </c>
      <c r="B54" s="21" t="s">
        <v>1</v>
      </c>
      <c r="C54" s="21" t="s">
        <v>2</v>
      </c>
      <c r="D54" s="21" t="s">
        <v>3</v>
      </c>
      <c r="E54" s="21" t="s">
        <v>4</v>
      </c>
      <c r="F54" s="21" t="s">
        <v>5</v>
      </c>
      <c r="G54" s="21" t="s">
        <v>6</v>
      </c>
      <c r="H54" s="21" t="s">
        <v>7</v>
      </c>
      <c r="I54" s="21" t="s">
        <v>8</v>
      </c>
      <c r="J54" s="21" t="s">
        <v>9</v>
      </c>
      <c r="K54" s="21" t="s">
        <v>10</v>
      </c>
      <c r="L54" s="21" t="s">
        <v>11</v>
      </c>
      <c r="M54" s="5" t="s">
        <v>12</v>
      </c>
      <c r="N54" s="5" t="s">
        <v>13</v>
      </c>
      <c r="O54" s="5" t="s">
        <v>14</v>
      </c>
      <c r="P54" s="5" t="s">
        <v>16</v>
      </c>
    </row>
    <row r="55">
      <c r="A55" s="22">
        <v>1.0</v>
      </c>
      <c r="B55" s="23">
        <v>0.249823596</v>
      </c>
      <c r="C55" s="23">
        <v>0.111069176</v>
      </c>
      <c r="D55" s="23">
        <v>0.172266204</v>
      </c>
      <c r="E55" s="23">
        <v>0.627915507</v>
      </c>
      <c r="F55" s="23">
        <v>3.986220536</v>
      </c>
      <c r="G55" s="23">
        <v>19.52777928</v>
      </c>
      <c r="H55" s="24">
        <v>600000.0</v>
      </c>
      <c r="I55" s="23">
        <v>1000.00155870909</v>
      </c>
      <c r="J55" s="23">
        <v>999.663501843981</v>
      </c>
      <c r="K55" s="25">
        <v>0.999841666666666</v>
      </c>
      <c r="L55" s="24">
        <v>2.2196485E7</v>
      </c>
      <c r="M55" s="10">
        <v>0.08017136018</v>
      </c>
      <c r="N55" s="11">
        <v>887.78157166979</v>
      </c>
      <c r="O55" s="11">
        <v>403.297956758386</v>
      </c>
      <c r="P55" s="12" t="str">
        <f>IF(OR(B55 &gt; tradicional_limite_lat_mean_s,M55 &gt; tradicional_limite_superior_cpu, M55 &lt; tradicional_limite_inferior_cpu,N55 &gt; tradicional_limite_memoria,O55 &gt; tradicional_limite_heap ) , "OUTLIER", "OK")
</f>
        <v>OUTLIER</v>
      </c>
    </row>
    <row r="56">
      <c r="A56" s="22">
        <v>3.0</v>
      </c>
      <c r="B56" s="23">
        <v>0.516002794</v>
      </c>
      <c r="C56" s="23">
        <v>0.11118923</v>
      </c>
      <c r="D56" s="23">
        <v>0.15158764</v>
      </c>
      <c r="E56" s="23">
        <v>1.032137133</v>
      </c>
      <c r="F56" s="23">
        <v>13.51959423</v>
      </c>
      <c r="G56" s="23">
        <v>60.691363113</v>
      </c>
      <c r="H56" s="24">
        <v>599999.0</v>
      </c>
      <c r="I56" s="23">
        <v>1000.00009426516</v>
      </c>
      <c r="J56" s="23">
        <v>946.823109176559</v>
      </c>
      <c r="K56" s="25">
        <v>0.995973326622211</v>
      </c>
      <c r="L56" s="24">
        <v>2.2110571E7</v>
      </c>
      <c r="M56" s="10">
        <v>0.07786684855</v>
      </c>
      <c r="N56" s="11">
        <v>471.380693004428</v>
      </c>
      <c r="O56" s="11">
        <v>178.425020674355</v>
      </c>
      <c r="P56" s="12" t="str">
        <f>IF(OR(B56 &gt; tradicional_limite_lat_mean_s,M56 &gt; tradicional_limite_superior_cpu, M56 &lt; tradicional_limite_inferior_cpu,N56 &gt; tradicional_limite_memoria,O56 &gt; tradicional_limite_heap ) , "OUTLIER", "OK")
</f>
        <v>OUTLIER</v>
      </c>
    </row>
    <row r="57">
      <c r="A57" s="22">
        <v>5.0</v>
      </c>
      <c r="B57" s="23">
        <v>0.220982588</v>
      </c>
      <c r="C57" s="23">
        <v>0.112519123</v>
      </c>
      <c r="D57" s="23">
        <v>0.194697575</v>
      </c>
      <c r="E57" s="23">
        <v>0.493880146</v>
      </c>
      <c r="F57" s="23">
        <v>2.971224464</v>
      </c>
      <c r="G57" s="23">
        <v>13.632439182</v>
      </c>
      <c r="H57" s="24">
        <v>600000.0</v>
      </c>
      <c r="I57" s="23">
        <v>1000.00156998079</v>
      </c>
      <c r="J57" s="23">
        <v>999.760567344809</v>
      </c>
      <c r="K57" s="25">
        <v>0.999941666666666</v>
      </c>
      <c r="L57" s="24">
        <v>2.2198705E7</v>
      </c>
      <c r="M57" s="10">
        <v>0.08183129906</v>
      </c>
      <c r="N57" s="11">
        <v>668.99371996349</v>
      </c>
      <c r="O57" s="11">
        <v>311.778777664256</v>
      </c>
      <c r="P57" s="12" t="str">
        <f>IF(OR(B57 &gt; tradicional_limite_lat_mean_s,M57 &gt; tradicional_limite_superior_cpu, M57 &lt; tradicional_limite_inferior_cpu,N57 &gt; tradicional_limite_memoria,O57 &gt; tradicional_limite_heap ) , "OUTLIER", "OK")
</f>
        <v>OK</v>
      </c>
    </row>
    <row r="58">
      <c r="A58" s="26">
        <v>7.0</v>
      </c>
      <c r="B58" s="23">
        <v>0.111833852</v>
      </c>
      <c r="C58" s="23">
        <v>0.109721031</v>
      </c>
      <c r="D58" s="23">
        <v>0.117516036</v>
      </c>
      <c r="E58" s="23">
        <v>0.123322087</v>
      </c>
      <c r="F58" s="23">
        <v>0.14653583</v>
      </c>
      <c r="G58" s="23">
        <v>0.477224272</v>
      </c>
      <c r="H58" s="24">
        <v>600000.0</v>
      </c>
      <c r="I58" s="23">
        <v>1000.00003025</v>
      </c>
      <c r="J58" s="23">
        <v>999.810048346818</v>
      </c>
      <c r="K58" s="25">
        <v>1.0</v>
      </c>
      <c r="L58" s="24">
        <v>2.22E7</v>
      </c>
      <c r="M58" s="10">
        <v>0.08465775256</v>
      </c>
      <c r="N58" s="11">
        <v>248.569117148988</v>
      </c>
      <c r="O58" s="11">
        <v>53.5109560709357</v>
      </c>
      <c r="P58" s="12" t="str">
        <f>IF(OR(B58 &gt; tradicional_limite_lat_mean_s,M58 &gt; tradicional_limite_superior_cpu, M58 &lt; tradicional_limite_inferior_cpu,N58 &gt; tradicional_limite_memoria,O58 &gt; tradicional_limite_heap ) , "OUTLIER", "OK")
</f>
        <v>OUTLIER</v>
      </c>
    </row>
    <row r="59">
      <c r="A59" s="22">
        <v>9.0</v>
      </c>
      <c r="B59" s="23">
        <v>0.115321554</v>
      </c>
      <c r="C59" s="23">
        <v>0.110955175</v>
      </c>
      <c r="D59" s="23">
        <v>0.126204807</v>
      </c>
      <c r="E59" s="23">
        <v>0.139684337</v>
      </c>
      <c r="F59" s="23">
        <v>0.185329909</v>
      </c>
      <c r="G59" s="23">
        <v>0.361551841</v>
      </c>
      <c r="H59" s="24">
        <v>600000.0</v>
      </c>
      <c r="I59" s="23">
        <v>1000.00161677261</v>
      </c>
      <c r="J59" s="23">
        <v>999.677628535207</v>
      </c>
      <c r="K59" s="25">
        <v>1.0</v>
      </c>
      <c r="L59" s="24">
        <v>2.22E7</v>
      </c>
      <c r="M59" s="10">
        <v>0.08391430482</v>
      </c>
      <c r="N59" s="11">
        <v>260.156704917295</v>
      </c>
      <c r="O59" s="11">
        <v>60.2288370409447</v>
      </c>
      <c r="P59" s="12" t="str">
        <f>IF(OR(B59 &gt; tradicional_limite_lat_mean_s,M59 &gt; tradicional_limite_superior_cpu, M59 &lt; tradicional_limite_inferior_cpu,N59 &gt; tradicional_limite_memoria,O59 &gt; tradicional_limite_heap ) , "OUTLIER", "OK")
</f>
        <v>OK</v>
      </c>
    </row>
    <row r="60">
      <c r="A60" s="22">
        <v>11.0</v>
      </c>
      <c r="B60" s="23">
        <v>0.115404782</v>
      </c>
      <c r="C60" s="23">
        <v>0.110516759</v>
      </c>
      <c r="D60" s="23">
        <v>0.124791396</v>
      </c>
      <c r="E60" s="23">
        <v>0.138278628</v>
      </c>
      <c r="F60" s="23">
        <v>0.207562867</v>
      </c>
      <c r="G60" s="23">
        <v>0.631249611</v>
      </c>
      <c r="H60" s="24">
        <v>600000.0</v>
      </c>
      <c r="I60" s="23">
        <v>1000.00125692991</v>
      </c>
      <c r="J60" s="23">
        <v>999.819076682503</v>
      </c>
      <c r="K60" s="25">
        <v>1.0</v>
      </c>
      <c r="L60" s="24">
        <v>2.22E7</v>
      </c>
      <c r="M60" s="10">
        <v>0.08337565992</v>
      </c>
      <c r="N60" s="11">
        <v>305.097799385773</v>
      </c>
      <c r="O60" s="11">
        <v>90.4855698852539</v>
      </c>
      <c r="P60" s="12" t="str">
        <f>IF(OR(B60 &gt; tradicional_limite_lat_mean_s,M60 &gt; tradicional_limite_superior_cpu, M60 &lt; tradicional_limite_inferior_cpu,N60 &gt; tradicional_limite_memoria,O60 &gt; tradicional_limite_heap ) , "OUTLIER", "OK")
</f>
        <v>OK</v>
      </c>
    </row>
    <row r="61">
      <c r="A61" s="22">
        <v>13.0</v>
      </c>
      <c r="B61" s="23">
        <v>0.360625734</v>
      </c>
      <c r="C61" s="23">
        <v>0.112207544</v>
      </c>
      <c r="D61" s="23">
        <v>0.145684633</v>
      </c>
      <c r="E61" s="23">
        <v>0.216000115</v>
      </c>
      <c r="F61" s="23">
        <v>9.587224917</v>
      </c>
      <c r="G61" s="23">
        <v>64.146432026</v>
      </c>
      <c r="H61" s="24">
        <v>600000.0</v>
      </c>
      <c r="I61" s="23">
        <v>1000.00061050203</v>
      </c>
      <c r="J61" s="23">
        <v>998.332177817257</v>
      </c>
      <c r="K61" s="25">
        <v>0.998511666666666</v>
      </c>
      <c r="L61" s="24">
        <v>2.2166959E7</v>
      </c>
      <c r="M61" s="10">
        <v>0.08207711872</v>
      </c>
      <c r="N61" s="11">
        <v>665.8175936087</v>
      </c>
      <c r="O61" s="11">
        <v>288.476155573778</v>
      </c>
      <c r="P61" s="12" t="str">
        <f>IF(OR(B61 &gt; tradicional_limite_lat_mean_s,M61 &gt; tradicional_limite_superior_cpu, M61 &lt; tradicional_limite_inferior_cpu,N61 &gt; tradicional_limite_memoria,O61 &gt; tradicional_limite_heap ) , "OUTLIER", "OK")
</f>
        <v>OK</v>
      </c>
    </row>
    <row r="62">
      <c r="A62" s="22">
        <v>15.0</v>
      </c>
      <c r="B62" s="23">
        <v>0.422781024</v>
      </c>
      <c r="C62" s="23">
        <v>0.11194808</v>
      </c>
      <c r="D62" s="23">
        <v>0.164256853</v>
      </c>
      <c r="E62" s="23">
        <v>1.236280076</v>
      </c>
      <c r="F62" s="23">
        <v>10.095439506</v>
      </c>
      <c r="G62" s="23">
        <v>70.001200629</v>
      </c>
      <c r="H62" s="24">
        <v>600000.0</v>
      </c>
      <c r="I62" s="23">
        <v>1000.0018362367</v>
      </c>
      <c r="J62" s="23">
        <v>998.246729539207</v>
      </c>
      <c r="K62" s="25">
        <v>0.998426666666666</v>
      </c>
      <c r="L62" s="24">
        <v>2.2165072E7</v>
      </c>
      <c r="M62" s="10">
        <v>0.08232727198</v>
      </c>
      <c r="N62" s="11">
        <v>599.998594435408</v>
      </c>
      <c r="O62" s="11">
        <v>207.994624667697</v>
      </c>
      <c r="P62" s="12" t="str">
        <f>IF(OR(B62 &gt; tradicional_limite_lat_mean_s,M62 &gt; tradicional_limite_superior_cpu, M62 &lt; tradicional_limite_inferior_cpu,N62 &gt; tradicional_limite_memoria,O62 &gt; tradicional_limite_heap ) , "OUTLIER", "OK")
</f>
        <v>OK</v>
      </c>
    </row>
    <row r="63">
      <c r="A63" s="22">
        <v>17.0</v>
      </c>
      <c r="B63" s="23">
        <v>0.425167889</v>
      </c>
      <c r="C63" s="23">
        <v>0.114100372</v>
      </c>
      <c r="D63" s="23">
        <v>0.636942283</v>
      </c>
      <c r="E63" s="23">
        <v>1.803686795</v>
      </c>
      <c r="F63" s="23">
        <v>7.028021403</v>
      </c>
      <c r="G63" s="23">
        <v>26.168789238</v>
      </c>
      <c r="H63" s="24">
        <v>600000.0</v>
      </c>
      <c r="I63" s="23">
        <v>1000.0016238443</v>
      </c>
      <c r="J63" s="23">
        <v>998.924750257789</v>
      </c>
      <c r="K63" s="25">
        <v>0.999106666666666</v>
      </c>
      <c r="L63" s="24">
        <v>2.2180168E7</v>
      </c>
      <c r="M63" s="10">
        <v>0.08093569545</v>
      </c>
      <c r="N63" s="11">
        <v>763.283317090708</v>
      </c>
      <c r="O63" s="11">
        <v>365.871535993303</v>
      </c>
      <c r="P63" s="12" t="str">
        <f>IF(OR(B63 &gt; tradicional_limite_lat_mean_s,M63 &gt; tradicional_limite_superior_cpu, M63 &lt; tradicional_limite_inferior_cpu,N63 &gt; tradicional_limite_memoria,O63 &gt; tradicional_limite_heap ) , "OUTLIER", "OK")
</f>
        <v>OUTLIER</v>
      </c>
    </row>
    <row r="64">
      <c r="A64" s="22">
        <v>19.0</v>
      </c>
      <c r="B64" s="23">
        <v>0.331935163</v>
      </c>
      <c r="C64" s="23">
        <v>0.110916465</v>
      </c>
      <c r="D64" s="23">
        <v>0.157422368</v>
      </c>
      <c r="E64" s="23">
        <v>0.97781786</v>
      </c>
      <c r="F64" s="23">
        <v>7.086547861</v>
      </c>
      <c r="G64" s="23">
        <v>27.494503813</v>
      </c>
      <c r="H64" s="24">
        <v>600000.0</v>
      </c>
      <c r="I64" s="23">
        <v>1000.00044269686</v>
      </c>
      <c r="J64" s="23">
        <v>998.710276121671</v>
      </c>
      <c r="K64" s="25">
        <v>0.998906666666666</v>
      </c>
      <c r="L64" s="24">
        <v>2.2175728E7</v>
      </c>
      <c r="M64" s="10">
        <v>0.08305882927</v>
      </c>
      <c r="N64" s="11">
        <v>529.672848535479</v>
      </c>
      <c r="O64" s="11">
        <v>222.152491867804</v>
      </c>
      <c r="P64" s="12" t="str">
        <f>IF(OR(B64 &gt; tradicional_limite_lat_mean_s,M64 &gt; tradicional_limite_superior_cpu, M64 &lt; tradicional_limite_inferior_cpu,N64 &gt; tradicional_limite_memoria,O64 &gt; tradicional_limite_heap ) , "OUTLIER", "OK")
</f>
        <v>OK</v>
      </c>
    </row>
    <row r="65">
      <c r="A65" s="22">
        <v>21.0</v>
      </c>
      <c r="B65" s="23">
        <v>0.916027534</v>
      </c>
      <c r="C65" s="23">
        <v>0.113413055</v>
      </c>
      <c r="D65" s="23">
        <v>2.550919718</v>
      </c>
      <c r="E65" s="23">
        <v>5.754183634</v>
      </c>
      <c r="F65" s="23">
        <v>12.27997451</v>
      </c>
      <c r="G65" s="23">
        <v>40.282059993</v>
      </c>
      <c r="H65" s="24">
        <v>600000.0</v>
      </c>
      <c r="I65" s="23">
        <v>1000.00156239077</v>
      </c>
      <c r="J65" s="23">
        <v>975.34748769043</v>
      </c>
      <c r="K65" s="25">
        <v>0.995928333333333</v>
      </c>
      <c r="L65" s="24">
        <v>2.2109609E7</v>
      </c>
      <c r="M65" s="10">
        <v>0.07916979265</v>
      </c>
      <c r="N65" s="11">
        <v>820.137098364917</v>
      </c>
      <c r="O65" s="11">
        <v>383.108275304075</v>
      </c>
      <c r="P65" s="12" t="str">
        <f>IF(OR(B65 &gt; tradicional_limite_lat_mean_s,M65 &gt; tradicional_limite_superior_cpu, M65 &lt; tradicional_limite_inferior_cpu,N65 &gt; tradicional_limite_memoria,O65 &gt; tradicional_limite_heap ) , "OUTLIER", "OK")
</f>
        <v>OUTLIER</v>
      </c>
    </row>
    <row r="66">
      <c r="A66" s="22">
        <v>23.0</v>
      </c>
      <c r="B66" s="23">
        <v>0.306634823</v>
      </c>
      <c r="C66" s="23">
        <v>0.112995949</v>
      </c>
      <c r="D66" s="23">
        <v>0.408805872</v>
      </c>
      <c r="E66" s="23">
        <v>1.122900078</v>
      </c>
      <c r="F66" s="23">
        <v>4.339448288</v>
      </c>
      <c r="G66" s="23">
        <v>21.637875527</v>
      </c>
      <c r="H66" s="24">
        <v>600000.0</v>
      </c>
      <c r="I66" s="23">
        <v>1000.00121234313</v>
      </c>
      <c r="J66" s="23">
        <v>973.584926185007</v>
      </c>
      <c r="K66" s="25">
        <v>0.9998</v>
      </c>
      <c r="L66" s="24">
        <v>2.219556E7</v>
      </c>
      <c r="M66" s="10">
        <v>0.08065072538</v>
      </c>
      <c r="N66" s="11">
        <v>495.01736043854</v>
      </c>
      <c r="O66" s="11">
        <v>196.547639555603</v>
      </c>
      <c r="P66" s="12" t="str">
        <f>IF(OR(B66 &gt; tradicional_limite_lat_mean_s,M66 &gt; tradicional_limite_superior_cpu, M66 &lt; tradicional_limite_inferior_cpu,N66 &gt; tradicional_limite_memoria,O66 &gt; tradicional_limite_heap ) , "OUTLIER", "OK")
</f>
        <v>OK</v>
      </c>
    </row>
    <row r="67">
      <c r="A67" s="22">
        <v>25.0</v>
      </c>
      <c r="B67" s="23">
        <v>1.22451486</v>
      </c>
      <c r="C67" s="23">
        <v>0.116479788</v>
      </c>
      <c r="D67" s="23">
        <v>2.709635262</v>
      </c>
      <c r="E67" s="23">
        <v>6.636136297</v>
      </c>
      <c r="F67" s="23">
        <v>19.350087592</v>
      </c>
      <c r="G67" s="23">
        <v>70.0124026</v>
      </c>
      <c r="H67" s="24">
        <v>600000.0</v>
      </c>
      <c r="I67" s="23">
        <v>1000.00149142389</v>
      </c>
      <c r="J67" s="23">
        <v>989.404810409877</v>
      </c>
      <c r="K67" s="25">
        <v>0.989591666666666</v>
      </c>
      <c r="L67" s="24">
        <v>2.1968935E7</v>
      </c>
      <c r="M67" s="10">
        <v>0.08104425836</v>
      </c>
      <c r="N67" s="11">
        <v>745.134730852442</v>
      </c>
      <c r="O67" s="11">
        <v>355.615860862527</v>
      </c>
      <c r="P67" s="12" t="str">
        <f>IF(OR(B67 &gt; tradicional_limite_lat_mean_s,M67 &gt; tradicional_limite_superior_cpu, M67 &lt; tradicional_limite_inferior_cpu,N67 &gt; tradicional_limite_memoria,O67 &gt; tradicional_limite_heap ) , "OUTLIER", "OK")
</f>
        <v>OUTLIER</v>
      </c>
    </row>
    <row r="68">
      <c r="A68" s="22">
        <v>27.0</v>
      </c>
      <c r="B68" s="23">
        <v>0.345050563</v>
      </c>
      <c r="C68" s="23">
        <v>0.112592111</v>
      </c>
      <c r="D68" s="23">
        <v>0.192842621</v>
      </c>
      <c r="E68" s="23">
        <v>1.038291142</v>
      </c>
      <c r="F68" s="23">
        <v>7.059077224</v>
      </c>
      <c r="G68" s="23">
        <v>23.214725648</v>
      </c>
      <c r="H68" s="24">
        <v>600000.0</v>
      </c>
      <c r="I68" s="23">
        <v>999.998415842509</v>
      </c>
      <c r="J68" s="23">
        <v>993.812381824863</v>
      </c>
      <c r="K68" s="25">
        <v>0.998858333333333</v>
      </c>
      <c r="L68" s="24">
        <v>2.2174655E7</v>
      </c>
      <c r="M68" s="10">
        <v>0.08156000398</v>
      </c>
      <c r="N68" s="11">
        <v>569.274858949139</v>
      </c>
      <c r="O68" s="11">
        <v>270.605612582572</v>
      </c>
      <c r="P68" s="12" t="str">
        <f>IF(OR(B68 &gt; tradicional_limite_lat_mean_s,M68 &gt; tradicional_limite_superior_cpu, M68 &lt; tradicional_limite_inferior_cpu,N68 &gt; tradicional_limite_memoria,O68 &gt; tradicional_limite_heap ) , "OUTLIER", "OK")
</f>
        <v>OK</v>
      </c>
    </row>
    <row r="69">
      <c r="A69" s="22">
        <v>29.0</v>
      </c>
      <c r="B69" s="23">
        <v>0.133690844</v>
      </c>
      <c r="C69" s="23">
        <v>0.111353489</v>
      </c>
      <c r="D69" s="23">
        <v>0.159478282</v>
      </c>
      <c r="E69" s="23">
        <v>0.251265228</v>
      </c>
      <c r="F69" s="23">
        <v>0.524133181</v>
      </c>
      <c r="G69" s="23">
        <v>2.326143737</v>
      </c>
      <c r="H69" s="24">
        <v>600000.0</v>
      </c>
      <c r="I69" s="23">
        <v>1000.00169267119</v>
      </c>
      <c r="J69" s="23">
        <v>999.289760373854</v>
      </c>
      <c r="K69" s="25">
        <v>1.0</v>
      </c>
      <c r="L69" s="24">
        <v>2.22E7</v>
      </c>
      <c r="M69" s="10">
        <v>0.08327883529</v>
      </c>
      <c r="N69" s="11">
        <v>505.296347958236</v>
      </c>
      <c r="O69" s="11">
        <v>218.599093244822</v>
      </c>
      <c r="P69" s="12" t="str">
        <f>IF(OR(B69 &gt; tradicional_limite_lat_mean_s,M69 &gt; tradicional_limite_superior_cpu, M69 &lt; tradicional_limite_inferior_cpu,N69 &gt; tradicional_limite_memoria,O69 &gt; tradicional_limite_heap ) , "OUTLIER", "OK")
</f>
        <v>OK</v>
      </c>
    </row>
    <row r="70">
      <c r="A70" s="22">
        <v>31.0</v>
      </c>
      <c r="B70" s="23">
        <v>0.114755238</v>
      </c>
      <c r="C70" s="23">
        <v>0.111329795</v>
      </c>
      <c r="D70" s="23">
        <v>0.123482293</v>
      </c>
      <c r="E70" s="23">
        <v>0.13051964</v>
      </c>
      <c r="F70" s="23">
        <v>0.16436451</v>
      </c>
      <c r="G70" s="23">
        <v>1.305497667</v>
      </c>
      <c r="H70" s="24">
        <v>600000.0</v>
      </c>
      <c r="I70" s="23">
        <v>1000.00108761951</v>
      </c>
      <c r="J70" s="23">
        <v>999.815454300068</v>
      </c>
      <c r="K70" s="25">
        <v>1.0</v>
      </c>
      <c r="L70" s="24">
        <v>2.22E7</v>
      </c>
      <c r="M70" s="10">
        <v>0.08811573408</v>
      </c>
      <c r="N70" s="11">
        <v>249.232842119887</v>
      </c>
      <c r="O70" s="11">
        <v>54.2266523177189</v>
      </c>
      <c r="P70" s="12" t="str">
        <f>IF(OR(B70 &gt; tradicional_limite_lat_mean_s,M70 &gt; tradicional_limite_superior_cpu, M70 &lt; tradicional_limite_inferior_cpu,N70 &gt; tradicional_limite_memoria,O70 &gt; tradicional_limite_heap ) , "OUTLIER", "OK")
</f>
        <v>OUTLIER</v>
      </c>
    </row>
    <row r="71">
      <c r="A71" s="22">
        <v>33.0</v>
      </c>
      <c r="B71" s="23">
        <v>0.118205146</v>
      </c>
      <c r="C71" s="23">
        <v>0.111274632</v>
      </c>
      <c r="D71" s="23">
        <v>0.128728536</v>
      </c>
      <c r="E71" s="23">
        <v>0.141316828</v>
      </c>
      <c r="F71" s="23">
        <v>0.201134168</v>
      </c>
      <c r="G71" s="23">
        <v>3.929881751</v>
      </c>
      <c r="H71" s="24">
        <v>600000.0</v>
      </c>
      <c r="I71" s="23">
        <v>1000.00184943508</v>
      </c>
      <c r="J71" s="23">
        <v>999.807885361792</v>
      </c>
      <c r="K71" s="25">
        <v>1.0</v>
      </c>
      <c r="L71" s="24">
        <v>2.22E7</v>
      </c>
      <c r="M71" s="10">
        <v>0.08320111067</v>
      </c>
      <c r="N71" s="11">
        <v>334.55157209054</v>
      </c>
      <c r="O71" s="11">
        <v>95.6569037326546</v>
      </c>
      <c r="P71" s="12" t="str">
        <f>IF(OR(B71 &gt; tradicional_limite_lat_mean_s,M71 &gt; tradicional_limite_superior_cpu, M71 &lt; tradicional_limite_inferior_cpu,N71 &gt; tradicional_limite_memoria,O71 &gt; tradicional_limite_heap ) , "OUTLIER", "OK")
</f>
        <v>OK</v>
      </c>
    </row>
    <row r="72">
      <c r="A72" s="22">
        <v>35.0</v>
      </c>
      <c r="B72" s="23">
        <v>0.118060347</v>
      </c>
      <c r="C72" s="23">
        <v>0.110706976</v>
      </c>
      <c r="D72" s="23">
        <v>0.131698739</v>
      </c>
      <c r="E72" s="23">
        <v>0.149963273</v>
      </c>
      <c r="F72" s="23">
        <v>0.235850553</v>
      </c>
      <c r="G72" s="23">
        <v>1.391571684</v>
      </c>
      <c r="H72" s="24">
        <v>600000.0</v>
      </c>
      <c r="I72" s="23">
        <v>1000.00162033929</v>
      </c>
      <c r="J72" s="23">
        <v>999.813934533467</v>
      </c>
      <c r="K72" s="25">
        <v>1.0</v>
      </c>
      <c r="L72" s="24">
        <v>2.22E7</v>
      </c>
      <c r="M72" s="10">
        <v>0.08329927392</v>
      </c>
      <c r="N72" s="11">
        <v>351.925867192981</v>
      </c>
      <c r="O72" s="11">
        <v>124.826991129346</v>
      </c>
      <c r="P72" s="12" t="str">
        <f>IF(OR(B72 &gt; tradicional_limite_lat_mean_s,M72 &gt; tradicional_limite_superior_cpu, M72 &lt; tradicional_limite_inferior_cpu,N72 &gt; tradicional_limite_memoria,O72 &gt; tradicional_limite_heap ) , "OUTLIER", "OK")
</f>
        <v>OK</v>
      </c>
    </row>
    <row r="73">
      <c r="A73" s="22">
        <v>37.0</v>
      </c>
      <c r="B73" s="23">
        <v>0.114995326</v>
      </c>
      <c r="C73" s="23">
        <v>0.109671071</v>
      </c>
      <c r="D73" s="23">
        <v>0.123240494</v>
      </c>
      <c r="E73" s="23">
        <v>0.137208077</v>
      </c>
      <c r="F73" s="23">
        <v>0.225693946</v>
      </c>
      <c r="G73" s="23">
        <v>1.215079208</v>
      </c>
      <c r="H73" s="24">
        <v>600000.0</v>
      </c>
      <c r="I73" s="23">
        <v>1000.00130259503</v>
      </c>
      <c r="J73" s="23">
        <v>999.818513809882</v>
      </c>
      <c r="K73" s="25">
        <v>1.0</v>
      </c>
      <c r="L73" s="24">
        <v>2.22E7</v>
      </c>
      <c r="M73" s="10">
        <v>0.08304464052</v>
      </c>
      <c r="N73" s="11">
        <v>491.060191151225</v>
      </c>
      <c r="O73" s="11">
        <v>221.442723519461</v>
      </c>
      <c r="P73" s="12" t="str">
        <f>IF(OR(B73 &gt; tradicional_limite_lat_mean_s,M73 &gt; tradicional_limite_superior_cpu, M73 &lt; tradicional_limite_inferior_cpu,N73 &gt; tradicional_limite_memoria,O73 &gt; tradicional_limite_heap ) , "OUTLIER", "OK")
</f>
        <v>OK</v>
      </c>
    </row>
    <row r="74">
      <c r="A74" s="22">
        <v>39.0</v>
      </c>
      <c r="B74" s="23">
        <v>0.258594851</v>
      </c>
      <c r="C74" s="23">
        <v>0.111582261</v>
      </c>
      <c r="D74" s="23">
        <v>0.150428082</v>
      </c>
      <c r="E74" s="23">
        <v>0.375314088</v>
      </c>
      <c r="F74" s="23">
        <v>4.571689638</v>
      </c>
      <c r="G74" s="23">
        <v>30.286432169</v>
      </c>
      <c r="H74" s="24">
        <v>600000.0</v>
      </c>
      <c r="I74" s="23">
        <v>1000.00065771376</v>
      </c>
      <c r="J74" s="23">
        <v>999.018556733993</v>
      </c>
      <c r="K74" s="25">
        <v>0.999215</v>
      </c>
      <c r="L74" s="24">
        <v>2.2182573E7</v>
      </c>
      <c r="M74" s="10">
        <v>0.08236952697</v>
      </c>
      <c r="N74" s="11">
        <v>381.375023845112</v>
      </c>
      <c r="O74" s="11">
        <v>123.843728937421</v>
      </c>
      <c r="P74" s="12" t="str">
        <f>IF(OR(B74 &gt; tradicional_limite_lat_mean_s,M74 &gt; tradicional_limite_superior_cpu, M74 &lt; tradicional_limite_inferior_cpu,N74 &gt; tradicional_limite_memoria,O74 &gt; tradicional_limite_heap ) , "OUTLIER", "OK")
</f>
        <v>OK</v>
      </c>
    </row>
    <row r="75">
      <c r="A75" s="22">
        <v>41.0</v>
      </c>
      <c r="B75" s="23">
        <v>0.227253391</v>
      </c>
      <c r="C75" s="23">
        <v>0.118623473</v>
      </c>
      <c r="D75" s="23">
        <v>0.2415413</v>
      </c>
      <c r="E75" s="23">
        <v>0.658846267</v>
      </c>
      <c r="F75" s="23">
        <v>2.57820183</v>
      </c>
      <c r="G75" s="23">
        <v>12.667569712</v>
      </c>
      <c r="H75" s="24">
        <v>600000.0</v>
      </c>
      <c r="I75" s="23">
        <v>1000.000070975</v>
      </c>
      <c r="J75" s="23">
        <v>999.762490778156</v>
      </c>
      <c r="K75" s="25">
        <v>0.999986666666666</v>
      </c>
      <c r="L75" s="24">
        <v>2.2199704E7</v>
      </c>
      <c r="M75" s="10">
        <v>0.08147450503</v>
      </c>
      <c r="N75" s="11">
        <v>612.864651255233</v>
      </c>
      <c r="O75" s="11">
        <v>261.715129292806</v>
      </c>
      <c r="P75" s="12" t="str">
        <f>IF(OR(B75 &gt; tradicional_limite_lat_mean_s,M75 &gt; tradicional_limite_superior_cpu, M75 &lt; tradicional_limite_inferior_cpu,N75 &gt; tradicional_limite_memoria,O75 &gt; tradicional_limite_heap ) , "OUTLIER", "OK")
</f>
        <v>OK</v>
      </c>
    </row>
    <row r="76">
      <c r="A76" s="22">
        <v>43.0</v>
      </c>
      <c r="B76" s="23">
        <v>0.125610371</v>
      </c>
      <c r="C76" s="23">
        <v>0.111338009</v>
      </c>
      <c r="D76" s="23">
        <v>0.134899203</v>
      </c>
      <c r="E76" s="23">
        <v>0.169001214</v>
      </c>
      <c r="F76" s="23">
        <v>0.440214351</v>
      </c>
      <c r="G76" s="23">
        <v>2.779403113</v>
      </c>
      <c r="H76" s="24">
        <v>600000.0</v>
      </c>
      <c r="I76" s="23">
        <v>1000.00150148392</v>
      </c>
      <c r="J76" s="23">
        <v>999.821651642144</v>
      </c>
      <c r="K76" s="25">
        <v>1.0</v>
      </c>
      <c r="L76" s="24">
        <v>2.22E7</v>
      </c>
      <c r="M76" s="10">
        <v>0.08331943377</v>
      </c>
      <c r="N76" s="11">
        <v>386.729695502713</v>
      </c>
      <c r="O76" s="11">
        <v>131.996791592604</v>
      </c>
      <c r="P76" s="12" t="str">
        <f>IF(OR(B76 &gt; tradicional_limite_lat_mean_s,M76 &gt; tradicional_limite_superior_cpu, M76 &lt; tradicional_limite_inferior_cpu,N76 &gt; tradicional_limite_memoria,O76 &gt; tradicional_limite_heap ) , "OUTLIER", "OK")
</f>
        <v>OK</v>
      </c>
    </row>
    <row r="77">
      <c r="A77" s="22">
        <v>45.0</v>
      </c>
      <c r="B77" s="23">
        <v>11.411222604</v>
      </c>
      <c r="C77" s="23">
        <v>0.123035485</v>
      </c>
      <c r="D77" s="23">
        <v>42.033731144</v>
      </c>
      <c r="E77" s="23">
        <v>58.521776059</v>
      </c>
      <c r="F77" s="23">
        <v>81.104517915</v>
      </c>
      <c r="G77" s="23">
        <v>135.220431855</v>
      </c>
      <c r="H77" s="24">
        <v>600000.0</v>
      </c>
      <c r="I77" s="23">
        <v>1000.00157237747</v>
      </c>
      <c r="J77" s="23">
        <v>851.685055720061</v>
      </c>
      <c r="K77" s="25">
        <v>0.851838333333333</v>
      </c>
      <c r="L77" s="24">
        <v>1.8910811E7</v>
      </c>
      <c r="M77" s="10">
        <v>0.07685646593</v>
      </c>
      <c r="N77" s="11">
        <v>927.764715137839</v>
      </c>
      <c r="O77" s="11">
        <v>424.929777517826</v>
      </c>
      <c r="P77" s="12" t="str">
        <f>IF(OR(B77 &gt; tradicional_limite_lat_mean_s,M77 &gt; tradicional_limite_superior_cpu, M77 &lt; tradicional_limite_inferior_cpu,N77 &gt; tradicional_limite_memoria,O77 &gt; tradicional_limite_heap ) , "OUTLIER", "OK")
</f>
        <v>OUTLIER</v>
      </c>
    </row>
    <row r="78">
      <c r="A78" s="22">
        <v>47.0</v>
      </c>
      <c r="B78" s="23">
        <v>0.122222164</v>
      </c>
      <c r="C78" s="23">
        <v>0.112913493</v>
      </c>
      <c r="D78" s="23">
        <v>0.135911019</v>
      </c>
      <c r="E78" s="23">
        <v>0.149060545</v>
      </c>
      <c r="F78" s="23">
        <v>0.217325778</v>
      </c>
      <c r="G78" s="23">
        <v>4.790548256</v>
      </c>
      <c r="H78" s="24">
        <v>600000.0</v>
      </c>
      <c r="I78" s="23">
        <v>1000.00179945323</v>
      </c>
      <c r="J78" s="23">
        <v>999.791426148793</v>
      </c>
      <c r="K78" s="25">
        <v>1.0</v>
      </c>
      <c r="L78" s="24">
        <v>2.22E7</v>
      </c>
      <c r="M78" s="10">
        <v>0.08343702054</v>
      </c>
      <c r="N78" s="11">
        <v>294.697236057835</v>
      </c>
      <c r="O78" s="11">
        <v>85.4895000371066</v>
      </c>
      <c r="P78" s="12" t="str">
        <f>IF(OR(B78 &gt; tradicional_limite_lat_mean_s,M78 &gt; tradicional_limite_superior_cpu, M78 &lt; tradicional_limite_inferior_cpu,N78 &gt; tradicional_limite_memoria,O78 &gt; tradicional_limite_heap ) , "OUTLIER", "OK")
</f>
        <v>OK</v>
      </c>
    </row>
    <row r="79">
      <c r="A79" s="22">
        <v>49.0</v>
      </c>
      <c r="B79" s="23">
        <v>0.227810772</v>
      </c>
      <c r="C79" s="23">
        <v>0.113859281</v>
      </c>
      <c r="D79" s="23">
        <v>0.183325858</v>
      </c>
      <c r="E79" s="23">
        <v>0.442809877</v>
      </c>
      <c r="F79" s="23">
        <v>3.034880734</v>
      </c>
      <c r="G79" s="23">
        <v>20.129397614</v>
      </c>
      <c r="H79" s="24">
        <v>600000.0</v>
      </c>
      <c r="I79" s="23">
        <v>1000.00015359669</v>
      </c>
      <c r="J79" s="23">
        <v>999.80771421878</v>
      </c>
      <c r="K79" s="25">
        <v>0.999993333333333</v>
      </c>
      <c r="L79" s="24">
        <v>2.2199852E7</v>
      </c>
      <c r="M79" s="10">
        <v>0.08260473916</v>
      </c>
      <c r="N79" s="11">
        <v>512.089382057516</v>
      </c>
      <c r="O79" s="11">
        <v>216.02497782234</v>
      </c>
      <c r="P79" s="12" t="str">
        <f>IF(OR(B79 &gt; tradicional_limite_lat_mean_s,M79 &gt; tradicional_limite_superior_cpu, M79 &lt; tradicional_limite_inferior_cpu,N79 &gt; tradicional_limite_memoria,O79 &gt; tradicional_limite_heap ) , "OUTLIER", "OK")
</f>
        <v>OK</v>
      </c>
    </row>
    <row r="80">
      <c r="A80" s="22">
        <v>51.0</v>
      </c>
      <c r="B80" s="23">
        <v>0.182008918</v>
      </c>
      <c r="C80" s="23">
        <v>0.116683018</v>
      </c>
      <c r="D80" s="23">
        <v>0.169927603</v>
      </c>
      <c r="E80" s="23">
        <v>0.394925489</v>
      </c>
      <c r="F80" s="23">
        <v>1.815288504</v>
      </c>
      <c r="G80" s="23">
        <v>7.764686648</v>
      </c>
      <c r="H80" s="24">
        <v>600000.0</v>
      </c>
      <c r="I80" s="23">
        <v>1000.00137231188</v>
      </c>
      <c r="J80" s="23">
        <v>999.770838281773</v>
      </c>
      <c r="K80" s="25">
        <v>0.999998333333333</v>
      </c>
      <c r="L80" s="24">
        <v>2.2199963E7</v>
      </c>
      <c r="M80" s="10">
        <v>0.08212157569</v>
      </c>
      <c r="N80" s="11">
        <v>447.297600547608</v>
      </c>
      <c r="O80" s="11">
        <v>172.359722296396</v>
      </c>
      <c r="P80" s="12" t="str">
        <f>IF(OR(B80 &gt; tradicional_limite_lat_mean_s,M80 &gt; tradicional_limite_superior_cpu, M80 &lt; tradicional_limite_inferior_cpu,N80 &gt; tradicional_limite_memoria,O80 &gt; tradicional_limite_heap ) , "OUTLIER", "OK")
</f>
        <v>OK</v>
      </c>
    </row>
    <row r="81">
      <c r="A81" s="22">
        <v>53.0</v>
      </c>
      <c r="B81" s="23">
        <v>0.212795509</v>
      </c>
      <c r="C81" s="23">
        <v>0.113736777</v>
      </c>
      <c r="D81" s="23">
        <v>0.172560084</v>
      </c>
      <c r="E81" s="23">
        <v>0.442309741</v>
      </c>
      <c r="F81" s="23">
        <v>2.919121087</v>
      </c>
      <c r="G81" s="23">
        <v>16.791410572</v>
      </c>
      <c r="H81" s="24">
        <v>599999.0</v>
      </c>
      <c r="I81" s="23">
        <v>1000.00010228184</v>
      </c>
      <c r="J81" s="23">
        <v>999.779128116276</v>
      </c>
      <c r="K81" s="25">
        <v>0.999966666611111</v>
      </c>
      <c r="L81" s="24">
        <v>2.2199223E7</v>
      </c>
      <c r="M81" s="10">
        <v>0.0835421911</v>
      </c>
      <c r="N81" s="11">
        <v>472.383469158472</v>
      </c>
      <c r="O81" s="11">
        <v>154.385442331919</v>
      </c>
      <c r="P81" s="12" t="str">
        <f>IF(OR(B81 &gt; tradicional_limite_lat_mean_s,M81 &gt; tradicional_limite_superior_cpu, M81 &lt; tradicional_limite_inferior_cpu,N81 &gt; tradicional_limite_memoria,O81 &gt; tradicional_limite_heap ) , "OUTLIER", "OK")
</f>
        <v>OK</v>
      </c>
    </row>
    <row r="82">
      <c r="A82" s="22">
        <v>55.0</v>
      </c>
      <c r="B82" s="23">
        <v>0.115050391</v>
      </c>
      <c r="C82" s="23">
        <v>0.110594718</v>
      </c>
      <c r="D82" s="23">
        <v>0.127249359</v>
      </c>
      <c r="E82" s="23">
        <v>0.139255123</v>
      </c>
      <c r="F82" s="23">
        <v>0.175999426</v>
      </c>
      <c r="G82" s="23">
        <v>0.446330499</v>
      </c>
      <c r="H82" s="24">
        <v>600000.0</v>
      </c>
      <c r="I82" s="23">
        <v>1000.0012257965</v>
      </c>
      <c r="J82" s="23">
        <v>999.821861062468</v>
      </c>
      <c r="K82" s="25">
        <v>1.0</v>
      </c>
      <c r="L82" s="24">
        <v>2.22E7</v>
      </c>
      <c r="M82" s="10">
        <v>0.08327974113</v>
      </c>
      <c r="N82" s="11">
        <v>295.757742917578</v>
      </c>
      <c r="O82" s="11">
        <v>82.6764799551989</v>
      </c>
      <c r="P82" s="12" t="str">
        <f>IF(OR(B82 &gt; tradicional_limite_lat_mean_s,M82 &gt; tradicional_limite_superior_cpu, M82 &lt; tradicional_limite_inferior_cpu,N82 &gt; tradicional_limite_memoria,O82 &gt; tradicional_limite_heap ) , "OUTLIER", "OK")
</f>
        <v>OK</v>
      </c>
    </row>
    <row r="83">
      <c r="A83" s="22">
        <v>57.0</v>
      </c>
      <c r="B83" s="23">
        <v>0.338790977</v>
      </c>
      <c r="C83" s="23">
        <v>0.111820248</v>
      </c>
      <c r="D83" s="23">
        <v>0.200167632</v>
      </c>
      <c r="E83" s="23">
        <v>0.954176885</v>
      </c>
      <c r="F83" s="23">
        <v>6.557462076</v>
      </c>
      <c r="G83" s="23">
        <v>26.667913066</v>
      </c>
      <c r="H83" s="24">
        <v>600000.0</v>
      </c>
      <c r="I83" s="23">
        <v>1000.00119414809</v>
      </c>
      <c r="J83" s="23">
        <v>998.827992397678</v>
      </c>
      <c r="K83" s="25">
        <v>0.999005</v>
      </c>
      <c r="L83" s="24">
        <v>2.2177911E7</v>
      </c>
      <c r="M83" s="10">
        <v>0.08203982243</v>
      </c>
      <c r="N83" s="11">
        <v>962.765161193678</v>
      </c>
      <c r="O83" s="11">
        <v>433.219380168794</v>
      </c>
      <c r="P83" s="12" t="str">
        <f>IF(OR(B83 &gt; tradicional_limite_lat_mean_s,M83 &gt; tradicional_limite_superior_cpu, M83 &lt; tradicional_limite_inferior_cpu,N83 &gt; tradicional_limite_memoria,O83 &gt; tradicional_limite_heap ) , "OUTLIER", "OK")
</f>
        <v>OUTLIER</v>
      </c>
    </row>
    <row r="84">
      <c r="A84" s="22">
        <v>59.0</v>
      </c>
      <c r="B84" s="23">
        <v>0.113053234</v>
      </c>
      <c r="C84" s="23">
        <v>0.110344748</v>
      </c>
      <c r="D84" s="23">
        <v>0.119103006</v>
      </c>
      <c r="E84" s="23">
        <v>0.124577913</v>
      </c>
      <c r="F84" s="23">
        <v>0.149292412</v>
      </c>
      <c r="G84" s="23">
        <v>1.410309328</v>
      </c>
      <c r="H84" s="24">
        <v>600000.0</v>
      </c>
      <c r="I84" s="23">
        <v>1000.00169889788</v>
      </c>
      <c r="J84" s="23">
        <v>999.823253246603</v>
      </c>
      <c r="K84" s="25">
        <v>1.0</v>
      </c>
      <c r="L84" s="24">
        <v>2.22E7</v>
      </c>
      <c r="M84" s="10">
        <v>0.08263816688</v>
      </c>
      <c r="N84" s="11">
        <v>605.378294595897</v>
      </c>
      <c r="O84" s="11">
        <v>284.8255176273</v>
      </c>
      <c r="P84" s="12" t="str">
        <f>IF(OR(B84 &gt; tradicional_limite_lat_mean_s,M84 &gt; tradicional_limite_superior_cpu, M84 &lt; tradicional_limite_inferior_cpu,N84 &gt; tradicional_limite_memoria,O84 &gt; tradicional_limite_heap ) , "OUTLIER", "OK")
</f>
        <v>OK</v>
      </c>
    </row>
    <row r="85">
      <c r="A85" s="22">
        <v>61.0</v>
      </c>
      <c r="B85" s="23">
        <v>0.129672695</v>
      </c>
      <c r="C85" s="23">
        <v>0.110065588</v>
      </c>
      <c r="D85" s="23">
        <v>0.121735441</v>
      </c>
      <c r="E85" s="23">
        <v>0.133812535</v>
      </c>
      <c r="F85" s="23">
        <v>0.482835689</v>
      </c>
      <c r="G85" s="23">
        <v>7.392313035</v>
      </c>
      <c r="H85" s="24">
        <v>600000.0</v>
      </c>
      <c r="I85" s="23">
        <v>1000.00136410019</v>
      </c>
      <c r="J85" s="23">
        <v>999.819145345989</v>
      </c>
      <c r="K85" s="25">
        <v>1.0</v>
      </c>
      <c r="L85" s="24">
        <v>2.22E7</v>
      </c>
      <c r="M85" s="10">
        <v>0.0823962052</v>
      </c>
      <c r="N85" s="11">
        <v>598.674580803895</v>
      </c>
      <c r="O85" s="11">
        <v>267.109666705131</v>
      </c>
      <c r="P85" s="12" t="str">
        <f>IF(OR(B85 &gt; tradicional_limite_lat_mean_s,M85 &gt; tradicional_limite_superior_cpu, M85 &lt; tradicional_limite_inferior_cpu,N85 &gt; tradicional_limite_memoria,O85 &gt; tradicional_limite_heap ) , "OUTLIER", "OK")
</f>
        <v>OK</v>
      </c>
    </row>
    <row r="86">
      <c r="A86" s="22">
        <v>63.0</v>
      </c>
      <c r="B86" s="23">
        <v>0.112554049</v>
      </c>
      <c r="C86" s="23">
        <v>0.110224814</v>
      </c>
      <c r="D86" s="23">
        <v>0.120640172</v>
      </c>
      <c r="E86" s="23">
        <v>0.12722745</v>
      </c>
      <c r="F86" s="23">
        <v>0.145606837</v>
      </c>
      <c r="G86" s="23">
        <v>0.267983316</v>
      </c>
      <c r="H86" s="24">
        <v>600000.0</v>
      </c>
      <c r="I86" s="23">
        <v>1000.00179760989</v>
      </c>
      <c r="J86" s="23">
        <v>999.810763468909</v>
      </c>
      <c r="K86" s="25">
        <v>1.0</v>
      </c>
      <c r="L86" s="24">
        <v>2.22E7</v>
      </c>
      <c r="M86" s="10">
        <v>0.08601076815</v>
      </c>
      <c r="N86" s="11">
        <v>231.040930376297</v>
      </c>
      <c r="O86" s="11">
        <v>43.2467861770154</v>
      </c>
      <c r="P86" s="12" t="str">
        <f>IF(OR(B86 &gt; tradicional_limite_lat_mean_s,M86 &gt; tradicional_limite_superior_cpu, M86 &lt; tradicional_limite_inferior_cpu,N86 &gt; tradicional_limite_memoria,O86 &gt; tradicional_limite_heap ) , "OUTLIER", "OK")
</f>
        <v>OUTLIER</v>
      </c>
    </row>
    <row r="87">
      <c r="A87" s="22">
        <v>65.0</v>
      </c>
      <c r="B87" s="23">
        <v>0.111887205</v>
      </c>
      <c r="C87" s="23">
        <v>0.109712751</v>
      </c>
      <c r="D87" s="23">
        <v>0.117950311</v>
      </c>
      <c r="E87" s="23">
        <v>0.123602219</v>
      </c>
      <c r="F87" s="23">
        <v>0.143790765</v>
      </c>
      <c r="G87" s="23">
        <v>0.360656286</v>
      </c>
      <c r="H87" s="24">
        <v>600000.0</v>
      </c>
      <c r="I87" s="23">
        <v>1000.00187117016</v>
      </c>
      <c r="J87" s="23">
        <v>999.821824024002</v>
      </c>
      <c r="K87" s="25">
        <v>1.0</v>
      </c>
      <c r="L87" s="24">
        <v>2.22E7</v>
      </c>
      <c r="M87" s="10">
        <v>0.0829601439</v>
      </c>
      <c r="N87" s="11">
        <v>687.907860438028</v>
      </c>
      <c r="O87" s="11">
        <v>292.793940017783</v>
      </c>
      <c r="P87" s="12" t="str">
        <f>IF(OR(B87 &gt; tradicional_limite_lat_mean_s,M87 &gt; tradicional_limite_superior_cpu, M87 &lt; tradicional_limite_inferior_cpu,N87 &gt; tradicional_limite_memoria,O87 &gt; tradicional_limite_heap ) , "OUTLIER", "OK")
</f>
        <v>OK</v>
      </c>
    </row>
    <row r="88">
      <c r="A88" s="22">
        <v>67.0</v>
      </c>
      <c r="B88" s="23">
        <v>0.112102115</v>
      </c>
      <c r="C88" s="23">
        <v>0.110063591</v>
      </c>
      <c r="D88" s="23">
        <v>0.118667212</v>
      </c>
      <c r="E88" s="23">
        <v>0.124386973</v>
      </c>
      <c r="F88" s="23">
        <v>0.140735957</v>
      </c>
      <c r="G88" s="23">
        <v>0.365695883</v>
      </c>
      <c r="H88" s="24">
        <v>600000.0</v>
      </c>
      <c r="I88" s="23">
        <v>1000.00169340286</v>
      </c>
      <c r="J88" s="23">
        <v>999.820721939719</v>
      </c>
      <c r="K88" s="25">
        <v>1.0</v>
      </c>
      <c r="L88" s="24">
        <v>2.22E7</v>
      </c>
      <c r="M88" s="10">
        <v>0.08324494006</v>
      </c>
      <c r="N88" s="11">
        <v>312.391680461961</v>
      </c>
      <c r="O88" s="11">
        <v>82.003306993472</v>
      </c>
      <c r="P88" s="12" t="str">
        <f>IF(OR(B88 &gt; tradicional_limite_lat_mean_s,M88 &gt; tradicional_limite_superior_cpu, M88 &lt; tradicional_limite_inferior_cpu,N88 &gt; tradicional_limite_memoria,O88 &gt; tradicional_limite_heap ) , "OUTLIER", "OK")
</f>
        <v>OK</v>
      </c>
    </row>
    <row r="89">
      <c r="A89" s="22">
        <v>69.0</v>
      </c>
      <c r="B89" s="23">
        <v>0.111427308</v>
      </c>
      <c r="C89" s="23">
        <v>0.109707364</v>
      </c>
      <c r="D89" s="23">
        <v>0.116922711</v>
      </c>
      <c r="E89" s="23">
        <v>0.121303087</v>
      </c>
      <c r="F89" s="23">
        <v>0.136711015</v>
      </c>
      <c r="G89" s="23">
        <v>0.333058057</v>
      </c>
      <c r="H89" s="24">
        <v>600000.0</v>
      </c>
      <c r="I89" s="23">
        <v>1000.00156508578</v>
      </c>
      <c r="J89" s="23">
        <v>999.813445574047</v>
      </c>
      <c r="K89" s="25">
        <v>1.0</v>
      </c>
      <c r="L89" s="24">
        <v>2.22E7</v>
      </c>
      <c r="M89" s="10">
        <v>0.08489396836</v>
      </c>
      <c r="N89" s="11">
        <v>245.83121629461</v>
      </c>
      <c r="O89" s="11">
        <v>50.5462845087051</v>
      </c>
      <c r="P89" s="12" t="str">
        <f>IF(OR(B89 &gt; tradicional_limite_lat_mean_s,M89 &gt; tradicional_limite_superior_cpu, M89 &lt; tradicional_limite_inferior_cpu,N89 &gt; tradicional_limite_memoria,O89 &gt; tradicional_limite_heap ) , "OUTLIER", "OK")
</f>
        <v>OUTLIER</v>
      </c>
    </row>
    <row r="90">
      <c r="A90" s="22">
        <v>71.0</v>
      </c>
      <c r="B90" s="23">
        <v>0.118318801</v>
      </c>
      <c r="C90" s="23">
        <v>0.110722623</v>
      </c>
      <c r="D90" s="23">
        <v>0.127040805</v>
      </c>
      <c r="E90" s="23">
        <v>0.148440497</v>
      </c>
      <c r="F90" s="23">
        <v>0.264229542</v>
      </c>
      <c r="G90" s="23">
        <v>1.858920113</v>
      </c>
      <c r="H90" s="24">
        <v>600000.0</v>
      </c>
      <c r="I90" s="23">
        <v>1000.00173012632</v>
      </c>
      <c r="J90" s="23">
        <v>999.808433473099</v>
      </c>
      <c r="K90" s="25">
        <v>1.0</v>
      </c>
      <c r="L90" s="24">
        <v>2.22E7</v>
      </c>
      <c r="M90" s="10">
        <v>0.0828983912</v>
      </c>
      <c r="N90" s="11">
        <v>403.663321206508</v>
      </c>
      <c r="O90" s="11">
        <v>155.645695932341</v>
      </c>
      <c r="P90" s="12" t="str">
        <f>IF(OR(B90 &gt; tradicional_limite_lat_mean_s,M90 &gt; tradicional_limite_superior_cpu, M90 &lt; tradicional_limite_inferior_cpu,N90 &gt; tradicional_limite_memoria,O90 &gt; tradicional_limite_heap ) , "OUTLIER", "OK")
</f>
        <v>OK</v>
      </c>
    </row>
    <row r="91">
      <c r="A91" s="22">
        <v>73.0</v>
      </c>
      <c r="B91" s="23">
        <v>0.12783376</v>
      </c>
      <c r="C91" s="23">
        <v>0.111535072</v>
      </c>
      <c r="D91" s="23">
        <v>0.132848371</v>
      </c>
      <c r="E91" s="23">
        <v>0.188919175</v>
      </c>
      <c r="F91" s="23">
        <v>0.483198329</v>
      </c>
      <c r="G91" s="23">
        <v>2.751800917</v>
      </c>
      <c r="H91" s="24">
        <v>600000.0</v>
      </c>
      <c r="I91" s="23">
        <v>1000.00048720023</v>
      </c>
      <c r="J91" s="23">
        <v>999.811097872422</v>
      </c>
      <c r="K91" s="25">
        <v>1.0</v>
      </c>
      <c r="L91" s="24">
        <v>2.22E7</v>
      </c>
      <c r="M91" s="10">
        <v>0.08286504618</v>
      </c>
      <c r="N91" s="11">
        <v>350.821492336957</v>
      </c>
      <c r="O91" s="11">
        <v>114.036822842206</v>
      </c>
      <c r="P91" s="12" t="str">
        <f>IF(OR(B91 &gt; tradicional_limite_lat_mean_s,M91 &gt; tradicional_limite_superior_cpu, M91 &lt; tradicional_limite_inferior_cpu,N91 &gt; tradicional_limite_memoria,O91 &gt; tradicional_limite_heap ) , "OUTLIER", "OK")
</f>
        <v>OK</v>
      </c>
    </row>
    <row r="92">
      <c r="A92" s="26">
        <v>75.0</v>
      </c>
      <c r="B92" s="23">
        <v>0.115854406</v>
      </c>
      <c r="C92" s="23">
        <v>0.112251364</v>
      </c>
      <c r="D92" s="23">
        <v>0.125780264</v>
      </c>
      <c r="E92" s="23">
        <v>0.134948474</v>
      </c>
      <c r="F92" s="23">
        <v>0.170629205</v>
      </c>
      <c r="G92" s="23">
        <v>0.875922116</v>
      </c>
      <c r="H92" s="27">
        <v>600000.0</v>
      </c>
      <c r="I92" s="23">
        <v>1000.00096639593</v>
      </c>
      <c r="J92" s="23">
        <v>999.804085196798</v>
      </c>
      <c r="K92" s="25">
        <v>1.0</v>
      </c>
      <c r="L92" s="27">
        <v>2.22E7</v>
      </c>
      <c r="M92" s="10">
        <v>0.08279154929</v>
      </c>
      <c r="N92" s="11">
        <v>569.018017358046</v>
      </c>
      <c r="O92" s="11">
        <v>267.586195891124</v>
      </c>
      <c r="P92" s="12" t="str">
        <f>IF(OR(B92 &gt; tradicional_limite_lat_mean_s,M92 &gt; tradicional_limite_superior_cpu, M92 &lt; tradicional_limite_inferior_cpu,N92 &gt; tradicional_limite_memoria,O92 &gt; tradicional_limite_heap ) , "OUTLIER", "OK")
</f>
        <v>OK</v>
      </c>
    </row>
    <row r="93">
      <c r="A93" s="26">
        <v>77.0</v>
      </c>
      <c r="B93" s="23">
        <v>18.264615956</v>
      </c>
      <c r="C93" s="23">
        <v>0.240385391</v>
      </c>
      <c r="D93" s="23">
        <v>64.836074892</v>
      </c>
      <c r="E93" s="23">
        <v>76.970975315</v>
      </c>
      <c r="F93" s="23">
        <v>98.797691188</v>
      </c>
      <c r="G93" s="23">
        <v>160.858915276</v>
      </c>
      <c r="H93" s="27">
        <v>600000.0</v>
      </c>
      <c r="I93" s="23">
        <v>1000.00146066546</v>
      </c>
      <c r="J93" s="23">
        <v>801.370193749263</v>
      </c>
      <c r="K93" s="25">
        <v>0.801516666666666</v>
      </c>
      <c r="L93" s="27">
        <v>1.779367E7</v>
      </c>
      <c r="M93" s="10">
        <v>0.07053128777</v>
      </c>
      <c r="N93" s="11">
        <v>1057.81847104247</v>
      </c>
      <c r="O93" s="11">
        <v>498.710668483894</v>
      </c>
      <c r="P93" s="12" t="str">
        <f>IF(OR(B93 &gt; tradicional_limite_lat_mean_s,M93 &gt; tradicional_limite_superior_cpu, M93 &lt; tradicional_limite_inferior_cpu,N93 &gt; tradicional_limite_memoria,O93 &gt; tradicional_limite_heap ) , "OUTLIER", "OK")
</f>
        <v>OUTLIER</v>
      </c>
    </row>
    <row r="94">
      <c r="A94" s="26">
        <v>79.0</v>
      </c>
      <c r="B94" s="23">
        <v>0.120842804</v>
      </c>
      <c r="C94" s="23">
        <v>0.113967319</v>
      </c>
      <c r="D94" s="23">
        <v>0.136964029</v>
      </c>
      <c r="E94" s="23">
        <v>0.151587484</v>
      </c>
      <c r="F94" s="23">
        <v>0.237787676</v>
      </c>
      <c r="G94" s="23">
        <v>1.181658263</v>
      </c>
      <c r="H94" s="27">
        <v>599999.0</v>
      </c>
      <c r="I94" s="23">
        <v>1000.00010359518</v>
      </c>
      <c r="J94" s="23">
        <v>999.812271958829</v>
      </c>
      <c r="K94" s="25">
        <v>1.0</v>
      </c>
      <c r="L94" s="27">
        <v>2.2199963E7</v>
      </c>
      <c r="M94" s="10">
        <v>0.082757502</v>
      </c>
      <c r="N94" s="11">
        <v>436.255818493944</v>
      </c>
      <c r="O94" s="11">
        <v>187.313357889217</v>
      </c>
      <c r="P94" s="12" t="str">
        <f>IF(OR(B94 &gt; tradicional_limite_lat_mean_s,M94 &gt; tradicional_limite_superior_cpu, M94 &lt; tradicional_limite_inferior_cpu,N94 &gt; tradicional_limite_memoria,O94 &gt; tradicional_limite_heap ) , "OUTLIER", "OK")
</f>
        <v>OK</v>
      </c>
    </row>
    <row r="95">
      <c r="A95" s="26">
        <v>81.0</v>
      </c>
      <c r="B95" s="23">
        <v>0.116611925</v>
      </c>
      <c r="C95" s="23">
        <v>0.110994264</v>
      </c>
      <c r="D95" s="23">
        <v>0.125209289</v>
      </c>
      <c r="E95" s="23">
        <v>0.137349325</v>
      </c>
      <c r="F95" s="23">
        <v>0.230760981</v>
      </c>
      <c r="G95" s="23">
        <v>0.904960004</v>
      </c>
      <c r="H95" s="27">
        <v>600000.0</v>
      </c>
      <c r="I95" s="23">
        <v>1000.00126755494</v>
      </c>
      <c r="J95" s="23">
        <v>999.813281610268</v>
      </c>
      <c r="K95" s="25">
        <v>1.0</v>
      </c>
      <c r="L95" s="27">
        <v>2.22E7</v>
      </c>
      <c r="M95" s="10">
        <v>0.08380454686</v>
      </c>
      <c r="N95" s="11">
        <v>307.015375942654</v>
      </c>
      <c r="O95" s="11">
        <v>83.7155945967528</v>
      </c>
      <c r="P95" s="12" t="str">
        <f>IF(OR(B95 &gt; tradicional_limite_lat_mean_s,M95 &gt; tradicional_limite_superior_cpu, M95 &lt; tradicional_limite_inferior_cpu,N95 &gt; tradicional_limite_memoria,O95 &gt; tradicional_limite_heap ) , "OUTLIER", "OK")
</f>
        <v>OK</v>
      </c>
    </row>
    <row r="96">
      <c r="A96" s="26">
        <v>83.0</v>
      </c>
      <c r="B96" s="23">
        <v>0.90733606</v>
      </c>
      <c r="C96" s="23">
        <v>0.1167781</v>
      </c>
      <c r="D96" s="23">
        <v>2.340428409</v>
      </c>
      <c r="E96" s="23">
        <v>4.622070353</v>
      </c>
      <c r="F96" s="23">
        <v>13.654085584</v>
      </c>
      <c r="G96" s="23">
        <v>70.002173984</v>
      </c>
      <c r="H96" s="27">
        <v>600000.0</v>
      </c>
      <c r="I96" s="23">
        <v>1000.00176521311</v>
      </c>
      <c r="J96" s="23">
        <v>997.173387069816</v>
      </c>
      <c r="K96" s="25">
        <v>0.99735</v>
      </c>
      <c r="L96" s="27">
        <v>2.214117E7</v>
      </c>
      <c r="M96" s="10">
        <v>0.08435109555</v>
      </c>
      <c r="N96" s="11">
        <v>498.152050819006</v>
      </c>
      <c r="O96" s="11">
        <v>151.115213907017</v>
      </c>
      <c r="P96" s="12" t="str">
        <f>IF(OR(B96 &gt; tradicional_limite_lat_mean_s,M96 &gt; tradicional_limite_superior_cpu, M96 &lt; tradicional_limite_inferior_cpu,N96 &gt; tradicional_limite_memoria,O96 &gt; tradicional_limite_heap ) , "OUTLIER", "OK")
</f>
        <v>OUTLIER</v>
      </c>
    </row>
    <row r="97">
      <c r="A97" s="26">
        <v>85.0</v>
      </c>
      <c r="B97" s="23">
        <v>73.612178619</v>
      </c>
      <c r="C97" s="23">
        <v>68.795308173</v>
      </c>
      <c r="D97" s="23">
        <v>133.154613228</v>
      </c>
      <c r="E97" s="23">
        <v>166.883776188</v>
      </c>
      <c r="F97" s="23">
        <v>216.198031286</v>
      </c>
      <c r="G97" s="23">
        <v>344.932053291</v>
      </c>
      <c r="H97" s="27">
        <v>599958.0</v>
      </c>
      <c r="I97" s="23">
        <v>999.707541333997</v>
      </c>
      <c r="J97" s="23">
        <v>259.488948807684</v>
      </c>
      <c r="K97" s="25">
        <v>0.289828621336826</v>
      </c>
      <c r="L97" s="27">
        <v>6433745.0</v>
      </c>
      <c r="M97" s="10">
        <v>0.03877631103</v>
      </c>
      <c r="N97" s="11">
        <v>817.080462963512</v>
      </c>
      <c r="O97" s="11">
        <v>370.486111612031</v>
      </c>
      <c r="P97" s="12" t="str">
        <f>IF(OR(B97 &gt; tradicional_limite_lat_mean_s,M97 &gt; tradicional_limite_superior_cpu, M97 &lt; tradicional_limite_inferior_cpu,N97 &gt; tradicional_limite_memoria,O97 &gt; tradicional_limite_heap ) , "OUTLIER", "OK")
</f>
        <v>OUTLIER</v>
      </c>
    </row>
    <row r="98">
      <c r="A98" s="26">
        <v>87.0</v>
      </c>
      <c r="B98" s="23">
        <v>44.78848864</v>
      </c>
      <c r="C98" s="23">
        <v>40.42875976</v>
      </c>
      <c r="D98" s="23">
        <v>97.817507108</v>
      </c>
      <c r="E98" s="23">
        <v>113.028795734</v>
      </c>
      <c r="F98" s="23">
        <v>142.565773605</v>
      </c>
      <c r="G98" s="23">
        <v>224.099941679</v>
      </c>
      <c r="H98" s="27">
        <v>600000.0</v>
      </c>
      <c r="I98" s="23">
        <v>1000.00102417771</v>
      </c>
      <c r="J98" s="23">
        <v>534.716515197056</v>
      </c>
      <c r="K98" s="25">
        <v>0.53481</v>
      </c>
      <c r="L98" s="27">
        <v>1.1872782E7</v>
      </c>
      <c r="M98" s="10">
        <v>0.05957715194</v>
      </c>
      <c r="N98" s="11">
        <v>807.450312754829</v>
      </c>
      <c r="O98" s="11">
        <v>386.495318289021</v>
      </c>
      <c r="P98" s="12" t="str">
        <f>IF(OR(B98 &gt; tradicional_limite_lat_mean_s,M98 &gt; tradicional_limite_superior_cpu, M98 &lt; tradicional_limite_inferior_cpu,N98 &gt; tradicional_limite_memoria,O98 &gt; tradicional_limite_heap ) , "OUTLIER", "OK")
</f>
        <v>OUTLIER</v>
      </c>
    </row>
    <row r="99">
      <c r="A99" s="26">
        <v>89.0</v>
      </c>
      <c r="B99" s="23">
        <v>0.122622228</v>
      </c>
      <c r="C99" s="23">
        <v>0.110872042</v>
      </c>
      <c r="D99" s="23">
        <v>0.129612451</v>
      </c>
      <c r="E99" s="23">
        <v>0.149942821</v>
      </c>
      <c r="F99" s="23">
        <v>0.391637746</v>
      </c>
      <c r="G99" s="23">
        <v>3.960537074</v>
      </c>
      <c r="H99" s="27">
        <v>600000.0</v>
      </c>
      <c r="I99" s="23">
        <v>1000.00177875149</v>
      </c>
      <c r="J99" s="23">
        <v>999.818388655338</v>
      </c>
      <c r="K99" s="25">
        <v>1.0</v>
      </c>
      <c r="L99" s="27">
        <v>2.22E7</v>
      </c>
      <c r="M99" s="10">
        <v>0.08533700226</v>
      </c>
      <c r="N99" s="11">
        <v>254.776564391399</v>
      </c>
      <c r="O99" s="11">
        <v>56.0190633966017</v>
      </c>
      <c r="P99" s="12" t="str">
        <f>IF(OR(B99 &gt; tradicional_limite_lat_mean_s,M99 &gt; tradicional_limite_superior_cpu, M99 &lt; tradicional_limite_inferior_cpu,N99 &gt; tradicional_limite_memoria,O99 &gt; tradicional_limite_heap ) , "OUTLIER", "OK")
</f>
        <v>OUTLIER</v>
      </c>
    </row>
    <row r="100">
      <c r="A100" s="26">
        <v>91.0</v>
      </c>
      <c r="B100" s="23">
        <v>0.142633962</v>
      </c>
      <c r="C100" s="23">
        <v>0.11152182</v>
      </c>
      <c r="D100" s="23">
        <v>0.166047067</v>
      </c>
      <c r="E100" s="23">
        <v>0.269021966</v>
      </c>
      <c r="F100" s="23">
        <v>0.737071339</v>
      </c>
      <c r="G100" s="23">
        <v>4.5553052</v>
      </c>
      <c r="H100" s="27">
        <v>600000.0</v>
      </c>
      <c r="I100" s="23">
        <v>1000.00038010014</v>
      </c>
      <c r="J100" s="23">
        <v>999.200271444317</v>
      </c>
      <c r="K100" s="25">
        <v>1.0</v>
      </c>
      <c r="L100" s="28">
        <v>2.22E7</v>
      </c>
      <c r="M100" s="10">
        <v>0.0807076317972972</v>
      </c>
      <c r="N100" s="11">
        <v>442.086354424448</v>
      </c>
      <c r="O100" s="19">
        <v>173.900417691185</v>
      </c>
      <c r="P100" s="12" t="str">
        <f>IF(OR(B100 &gt; tradicional_limite_lat_mean_s,M100 &gt; tradicional_limite_superior_cpu, M100 &lt; tradicional_limite_inferior_cpu,N100 &gt; tradicional_limite_memoria,O100 &gt; tradicional_limite_heap ) , "OUTLIER", "OK")
</f>
        <v>OK</v>
      </c>
    </row>
    <row r="101">
      <c r="A101" s="26">
        <v>93.0</v>
      </c>
      <c r="B101" s="23">
        <v>0.171599756</v>
      </c>
      <c r="C101" s="23">
        <v>0.110377447</v>
      </c>
      <c r="D101" s="23">
        <v>0.192892508</v>
      </c>
      <c r="E101" s="23">
        <v>0.36099887</v>
      </c>
      <c r="F101" s="23">
        <v>1.46827418</v>
      </c>
      <c r="G101" s="23">
        <v>12.217819294</v>
      </c>
      <c r="H101" s="27">
        <v>600000.0</v>
      </c>
      <c r="I101" s="23">
        <v>1000.00141879701</v>
      </c>
      <c r="J101" s="23">
        <v>999.815278026398</v>
      </c>
      <c r="K101" s="25">
        <v>0.999995</v>
      </c>
      <c r="L101" s="28">
        <v>2.2199889E7</v>
      </c>
      <c r="M101" s="10">
        <v>0.0808545964804804</v>
      </c>
      <c r="N101" s="11">
        <v>552.187547939403</v>
      </c>
      <c r="O101" s="19">
        <v>175.741196342136</v>
      </c>
      <c r="P101" s="12" t="str">
        <f>IF(OR(B101 &gt; tradicional_limite_lat_mean_s,M101 &gt; tradicional_limite_superior_cpu, M101 &lt; tradicional_limite_inferior_cpu,N101 &gt; tradicional_limite_memoria,O101 &gt; tradicional_limite_heap ) , "OUTLIER", "OK")
</f>
        <v>OK</v>
      </c>
    </row>
    <row r="102">
      <c r="A102" s="26">
        <v>95.0</v>
      </c>
      <c r="B102" s="23">
        <v>0.320271396</v>
      </c>
      <c r="C102" s="23">
        <v>0.119743536</v>
      </c>
      <c r="D102" s="23">
        <v>0.748657959</v>
      </c>
      <c r="E102" s="23">
        <v>1.306920031</v>
      </c>
      <c r="F102" s="23">
        <v>2.870955584</v>
      </c>
      <c r="G102" s="23">
        <v>11.936578066</v>
      </c>
      <c r="H102" s="27">
        <v>600000.0</v>
      </c>
      <c r="I102" s="23">
        <v>1000.0020180274</v>
      </c>
      <c r="J102" s="23">
        <v>999.776777509725</v>
      </c>
      <c r="K102" s="25">
        <v>0.999958333333333</v>
      </c>
      <c r="L102" s="28">
        <v>2.2199075E7</v>
      </c>
      <c r="M102" s="10">
        <v>0.0899340784159158</v>
      </c>
      <c r="N102" s="11">
        <v>312.264371610273</v>
      </c>
      <c r="O102" s="19">
        <v>94.6001170614491</v>
      </c>
      <c r="P102" s="12" t="str">
        <f>IF(OR(B102 &gt; tradicional_limite_lat_mean_s,M102 &gt; tradicional_limite_superior_cpu, M102 &lt; tradicional_limite_inferior_cpu,N102 &gt; tradicional_limite_memoria,O102 &gt; tradicional_limite_heap ) , "OUTLIER", "OK")
</f>
        <v>OUTLIER</v>
      </c>
    </row>
    <row r="103">
      <c r="A103" s="26">
        <v>97.0</v>
      </c>
      <c r="B103" s="23">
        <v>0.131115496</v>
      </c>
      <c r="C103" s="23">
        <v>0.111335586</v>
      </c>
      <c r="D103" s="23">
        <v>0.1351894</v>
      </c>
      <c r="E103" s="23">
        <v>0.163838111</v>
      </c>
      <c r="F103" s="23">
        <v>0.638924591</v>
      </c>
      <c r="G103" s="23">
        <v>8.149824006</v>
      </c>
      <c r="H103" s="27">
        <v>600000.0</v>
      </c>
      <c r="I103" s="23">
        <v>1000.00052627527</v>
      </c>
      <c r="J103" s="23">
        <v>999.734719938851</v>
      </c>
      <c r="K103" s="25">
        <v>1.0</v>
      </c>
      <c r="L103" s="28">
        <v>2.22E7</v>
      </c>
      <c r="M103" s="10">
        <v>0.0827719868603603</v>
      </c>
      <c r="N103" s="11">
        <v>348.925917237617</v>
      </c>
      <c r="O103" s="19">
        <v>128.913282394409</v>
      </c>
      <c r="P103" s="12" t="str">
        <f>IF(OR(B103 &gt; tradicional_limite_lat_mean_s,M103 &gt; tradicional_limite_superior_cpu, M103 &lt; tradicional_limite_inferior_cpu,N103 &gt; tradicional_limite_memoria,O103 &gt; tradicional_limite_heap ) , "OUTLIER", "OK")
</f>
        <v>OK</v>
      </c>
    </row>
    <row r="104">
      <c r="A104" s="26">
        <v>99.0</v>
      </c>
      <c r="B104" s="23">
        <v>0.12811629</v>
      </c>
      <c r="C104" s="23">
        <v>0.112003254</v>
      </c>
      <c r="D104" s="23">
        <v>0.132828714</v>
      </c>
      <c r="E104" s="23">
        <v>0.165450612</v>
      </c>
      <c r="F104" s="23">
        <v>0.506228381</v>
      </c>
      <c r="G104" s="23">
        <v>4.057285141</v>
      </c>
      <c r="H104" s="27">
        <v>600000.0</v>
      </c>
      <c r="I104" s="23">
        <v>1000.00121409314</v>
      </c>
      <c r="J104" s="23">
        <v>999.81616220255</v>
      </c>
      <c r="K104" s="25">
        <v>1.0</v>
      </c>
      <c r="L104" s="28">
        <v>2.22E7</v>
      </c>
      <c r="M104" s="10">
        <v>0.0800843392417417</v>
      </c>
      <c r="N104" s="11">
        <v>459.00627568984</v>
      </c>
      <c r="O104" s="19">
        <v>176.953778971796</v>
      </c>
      <c r="P104" s="12" t="str">
        <f>IF(OR(B104 &gt; tradicional_limite_lat_mean_s,M104 &gt; tradicional_limite_superior_cpu, M104 &lt; tradicional_limite_inferior_cpu,N104 &gt; tradicional_limite_memoria,O104 &gt; tradicional_limite_heap ) , "OUTLIER", "OK")
</f>
        <v>OK</v>
      </c>
    </row>
  </sheetData>
  <dataValidations>
    <dataValidation type="custom" allowBlank="1" showDropDown="1" sqref="A2:O51 A55:O104">
      <formula1>AND(ISNUMBER(A2),(NOT(OR(NOT(ISERROR(DATEVALUE(A2))), AND(ISNUMBER(A2), LEFT(CELL("format", A2))="D")))))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15.75"/>
    <col customWidth="1" min="3" max="3" width="15.38"/>
    <col customWidth="1" min="5" max="5" width="18.75"/>
  </cols>
  <sheetData>
    <row r="1">
      <c r="A1" s="1" t="s">
        <v>17</v>
      </c>
      <c r="B1" s="1" t="s">
        <v>18</v>
      </c>
      <c r="C1" s="1" t="s">
        <v>19</v>
      </c>
      <c r="E1" s="1" t="s">
        <v>17</v>
      </c>
      <c r="F1" s="1" t="s">
        <v>18</v>
      </c>
      <c r="G1" s="1" t="s">
        <v>19</v>
      </c>
    </row>
    <row r="2">
      <c r="A2" s="29" t="s">
        <v>20</v>
      </c>
      <c r="B2" s="12">
        <f>ROWS(Virtual_Sem_Outliers[run])</f>
        <v>35</v>
      </c>
      <c r="C2" s="12">
        <f>ROWS(Tradicional_Sem_Outliers[run])</f>
        <v>33</v>
      </c>
      <c r="E2" s="29" t="s">
        <v>20</v>
      </c>
      <c r="F2" s="30">
        <f>ROWS(Virtual_Sem_Outliers[run])</f>
        <v>35</v>
      </c>
      <c r="G2" s="30">
        <f>ROWS(Tradicional_Sem_Outliers[run])</f>
        <v>33</v>
      </c>
    </row>
    <row r="3">
      <c r="A3" s="29" t="s">
        <v>21</v>
      </c>
      <c r="B3" s="12">
        <f t="shared" ref="B3:C3" si="1">_xlfn.NORM.S.INV(1 - 0.05/2)</f>
        <v>1.959963986</v>
      </c>
      <c r="C3" s="12">
        <f t="shared" si="1"/>
        <v>1.959963986</v>
      </c>
      <c r="E3" s="29" t="s">
        <v>21</v>
      </c>
      <c r="F3" s="30">
        <f t="shared" ref="F3:G3" si="2">_xlfn.NORM.S.INV(1 - 0.05/2)</f>
        <v>1.959963986</v>
      </c>
      <c r="G3" s="30">
        <f t="shared" si="2"/>
        <v>1.959963986</v>
      </c>
    </row>
    <row r="4">
      <c r="A4" s="29" t="s">
        <v>22</v>
      </c>
      <c r="B4" s="30">
        <f>Estatisticas!C19</f>
        <v>0.05047454941</v>
      </c>
      <c r="C4" s="30">
        <f>Estatisticas!C24</f>
        <v>0.08746009539</v>
      </c>
      <c r="E4" s="29" t="s">
        <v>22</v>
      </c>
      <c r="F4" s="30">
        <f>Estatisticas!H19</f>
        <v>0.001095616116</v>
      </c>
      <c r="G4" s="30">
        <f>Estatisticas!H24</f>
        <v>0.0009549734255</v>
      </c>
    </row>
    <row r="5">
      <c r="A5" s="29" t="s">
        <v>23</v>
      </c>
      <c r="B5" s="12">
        <f>0.1*Estatisticas!C15</f>
        <v>0.01438386807</v>
      </c>
      <c r="C5" s="12">
        <f>0.1*Estatisticas!C20</f>
        <v>0.01762023245</v>
      </c>
      <c r="E5" s="29" t="s">
        <v>23</v>
      </c>
      <c r="F5" s="30">
        <f>0.1*Estatisticas!H15</f>
        <v>0.003699103078</v>
      </c>
      <c r="G5" s="30">
        <f>0.1*Estatisticas!G20</f>
        <v>0.1943186281</v>
      </c>
    </row>
    <row r="6">
      <c r="A6" s="29" t="s">
        <v>24</v>
      </c>
      <c r="B6" s="12">
        <f t="shared" ref="B6:C6" si="3">((B3*B4)/B5)^2
</f>
        <v>47.3031108</v>
      </c>
      <c r="C6" s="12">
        <f t="shared" si="3"/>
        <v>94.64393945</v>
      </c>
      <c r="E6" s="29" t="s">
        <v>24</v>
      </c>
      <c r="F6" s="30">
        <f t="shared" ref="F6:G6" si="4">((F3*F4)/F5)^2
</f>
        <v>0.3369924255</v>
      </c>
      <c r="G6" s="30">
        <f t="shared" si="4"/>
        <v>0.00009277904207</v>
      </c>
    </row>
    <row r="9">
      <c r="A9" s="1" t="s">
        <v>17</v>
      </c>
      <c r="B9" s="1" t="s">
        <v>18</v>
      </c>
      <c r="C9" s="1" t="s">
        <v>19</v>
      </c>
      <c r="E9" s="1" t="s">
        <v>17</v>
      </c>
      <c r="F9" s="1" t="s">
        <v>18</v>
      </c>
      <c r="G9" s="1" t="s">
        <v>19</v>
      </c>
    </row>
    <row r="10">
      <c r="A10" s="29" t="s">
        <v>20</v>
      </c>
      <c r="B10" s="30">
        <f>ROWS(Virtual_Sem_Outliers[run])</f>
        <v>35</v>
      </c>
      <c r="C10" s="30">
        <f>ROWS(Tradicional_Sem_Outliers[run])</f>
        <v>33</v>
      </c>
      <c r="E10" s="29" t="s">
        <v>20</v>
      </c>
      <c r="F10" s="30">
        <f>ROWS(Virtual_Sem_Outliers[run])</f>
        <v>35</v>
      </c>
      <c r="G10" s="30">
        <f>ROWS(Tradicional_Sem_Outliers[run])</f>
        <v>33</v>
      </c>
    </row>
    <row r="11">
      <c r="A11" s="29" t="s">
        <v>21</v>
      </c>
      <c r="B11" s="30">
        <f t="shared" ref="B11:C11" si="5">_xlfn.NORM.S.INV(1 - 0.05/2)</f>
        <v>1.959963986</v>
      </c>
      <c r="C11" s="30">
        <f t="shared" si="5"/>
        <v>1.959963986</v>
      </c>
      <c r="E11" s="29" t="s">
        <v>21</v>
      </c>
      <c r="F11" s="30">
        <f t="shared" ref="F11:G11" si="6">_xlfn.NORM.S.INV(1 - 0.05/2)</f>
        <v>1.959963986</v>
      </c>
      <c r="G11" s="30">
        <f t="shared" si="6"/>
        <v>1.959963986</v>
      </c>
    </row>
    <row r="12">
      <c r="A12" s="29" t="s">
        <v>22</v>
      </c>
      <c r="B12" s="30">
        <f>Estatisticas!I19</f>
        <v>149.3259608</v>
      </c>
      <c r="C12" s="30">
        <f>Estatisticas!I24</f>
        <v>124.5378866</v>
      </c>
      <c r="E12" s="29" t="s">
        <v>22</v>
      </c>
      <c r="F12" s="30">
        <f>Estatisticas!J19</f>
        <v>86.77268591</v>
      </c>
      <c r="G12" s="30">
        <f>Estatisticas!J24</f>
        <v>73.73162566</v>
      </c>
    </row>
    <row r="13">
      <c r="A13" s="29" t="s">
        <v>23</v>
      </c>
      <c r="B13" s="30">
        <f>0.1*Estatisticas!I15</f>
        <v>41.07219854</v>
      </c>
      <c r="C13" s="30">
        <f>0.1*Estatisticas!I20</f>
        <v>46.22239635</v>
      </c>
      <c r="E13" s="29" t="s">
        <v>23</v>
      </c>
      <c r="F13" s="30">
        <f>0.1*Estatisticas!J15</f>
        <v>14.22355416</v>
      </c>
      <c r="G13" s="30">
        <f>0.1*Estatisticas!J20</f>
        <v>17.96310899</v>
      </c>
    </row>
    <row r="14">
      <c r="A14" s="29" t="s">
        <v>24</v>
      </c>
      <c r="B14" s="30">
        <f t="shared" ref="B14:C14" si="7">((B11*B12)/B13)^2
</f>
        <v>50.77745345</v>
      </c>
      <c r="C14" s="30">
        <f t="shared" si="7"/>
        <v>27.88651547</v>
      </c>
      <c r="E14" s="29" t="s">
        <v>24</v>
      </c>
      <c r="F14" s="30">
        <f t="shared" ref="F14:G14" si="8">((F11*F12)/F13)^2
</f>
        <v>142.9703573</v>
      </c>
      <c r="G14" s="30">
        <f t="shared" si="8"/>
        <v>64.72034024</v>
      </c>
    </row>
  </sheetData>
  <dataValidations>
    <dataValidation type="custom" allowBlank="1" showDropDown="1" sqref="F2:G6 B10:C14 F10:G14">
      <formula1>AND(ISNUMBER(B2),(NOT(OR(NOT(ISERROR(DATEVALUE(B2))), AND(ISNUMBER(B2), LEFT(CELL("format", B2))="D")))))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13" max="13" width="17.0"/>
  </cols>
  <sheetData>
    <row r="1">
      <c r="A1" s="1" t="s">
        <v>25</v>
      </c>
      <c r="B1" s="1" t="s">
        <v>26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5" t="s">
        <v>12</v>
      </c>
      <c r="I1" s="5" t="s">
        <v>27</v>
      </c>
      <c r="J1" s="5" t="s">
        <v>14</v>
      </c>
      <c r="L1" s="31"/>
      <c r="M1" s="31"/>
      <c r="N1" s="31"/>
      <c r="O1" s="31"/>
      <c r="P1" s="31"/>
      <c r="Q1" s="31"/>
      <c r="R1" s="31"/>
      <c r="S1" s="31"/>
      <c r="T1" s="31"/>
      <c r="U1" s="31"/>
    </row>
    <row r="2">
      <c r="A2" s="29" t="s">
        <v>18</v>
      </c>
      <c r="B2" s="29" t="s">
        <v>28</v>
      </c>
      <c r="C2" s="32">
        <f> ROWS(Virtual_Sem_Outliers[lat_mean_s_virtual])</f>
        <v>35</v>
      </c>
      <c r="D2" s="32">
        <f> ROWS(Virtual_Sem_Outliers[lat_mean_s_virtual])</f>
        <v>35</v>
      </c>
      <c r="E2" s="32">
        <f> ROWS(Virtual_Sem_Outliers[lat_mean_s_virtual])</f>
        <v>35</v>
      </c>
      <c r="F2" s="32">
        <f> ROWS(Virtual_Sem_Outliers[lat_mean_s_virtual])</f>
        <v>35</v>
      </c>
      <c r="G2" s="32">
        <f> ROWS(Virtual_Sem_Outliers[lat_mean_s_virtual])</f>
        <v>35</v>
      </c>
      <c r="H2" s="32">
        <f> ROWS(Virtual_Sem_Outliers[lat_mean_s_virtual])</f>
        <v>35</v>
      </c>
      <c r="I2" s="32">
        <f> ROWS(Virtual_Sem_Outliers[lat_mean_s_virtual])</f>
        <v>35</v>
      </c>
      <c r="J2" s="32">
        <f> ROWS(Virtual_Sem_Outliers[lat_mean_s_virtual])</f>
        <v>35</v>
      </c>
      <c r="L2" s="31"/>
      <c r="M2" s="31"/>
      <c r="N2" s="31"/>
      <c r="O2" s="31"/>
      <c r="P2" s="31"/>
      <c r="Q2" s="31"/>
      <c r="R2" s="31"/>
      <c r="S2" s="31"/>
      <c r="T2" s="31"/>
      <c r="U2" s="31"/>
    </row>
    <row r="3">
      <c r="A3" s="29" t="s">
        <v>18</v>
      </c>
      <c r="B3" s="29" t="s">
        <v>29</v>
      </c>
      <c r="C3" s="32">
        <f> ROWS(Virtual_Sem_Outliers[lat_mean_s_virtual])-1</f>
        <v>34</v>
      </c>
      <c r="D3" s="32">
        <f> ROWS(Virtual_Sem_Outliers[lat_mean_s_virtual])-1</f>
        <v>34</v>
      </c>
      <c r="E3" s="32">
        <f> ROWS(Virtual_Sem_Outliers[lat_mean_s_virtual])-1</f>
        <v>34</v>
      </c>
      <c r="F3" s="32">
        <f> ROWS(Virtual_Sem_Outliers[lat_mean_s_virtual])-1</f>
        <v>34</v>
      </c>
      <c r="G3" s="32">
        <f> ROWS(Virtual_Sem_Outliers[lat_mean_s_virtual])-1</f>
        <v>34</v>
      </c>
      <c r="H3" s="32">
        <f> ROWS(Virtual_Sem_Outliers[lat_mean_s_virtual])-1</f>
        <v>34</v>
      </c>
      <c r="I3" s="32">
        <f> ROWS(Virtual_Sem_Outliers[lat_mean_s_virtual])-1</f>
        <v>34</v>
      </c>
      <c r="J3" s="32">
        <f> ROWS(Virtual_Sem_Outliers[lat_mean_s_virtual])-1</f>
        <v>34</v>
      </c>
      <c r="L3" s="31"/>
      <c r="M3" s="31"/>
      <c r="N3" s="31"/>
      <c r="O3" s="31"/>
      <c r="P3" s="31"/>
      <c r="Q3" s="31"/>
      <c r="R3" s="31"/>
      <c r="S3" s="31"/>
      <c r="T3" s="31"/>
      <c r="U3" s="31"/>
    </row>
    <row r="4">
      <c r="A4" s="29" t="s">
        <v>18</v>
      </c>
      <c r="B4" s="29" t="s">
        <v>30</v>
      </c>
      <c r="C4" s="32">
        <f t="shared" ref="C4:J4" si="1"> _xlfn.T.INV(0.975, C3) </f>
        <v>2.032244509</v>
      </c>
      <c r="D4" s="32">
        <f t="shared" si="1"/>
        <v>2.032244509</v>
      </c>
      <c r="E4" s="32">
        <f t="shared" si="1"/>
        <v>2.032244509</v>
      </c>
      <c r="F4" s="32">
        <f t="shared" si="1"/>
        <v>2.032244509</v>
      </c>
      <c r="G4" s="32">
        <f t="shared" si="1"/>
        <v>2.032244509</v>
      </c>
      <c r="H4" s="32">
        <f t="shared" si="1"/>
        <v>2.032244509</v>
      </c>
      <c r="I4" s="32">
        <f t="shared" si="1"/>
        <v>2.032244509</v>
      </c>
      <c r="J4" s="32">
        <f t="shared" si="1"/>
        <v>2.032244509</v>
      </c>
      <c r="L4" s="31"/>
      <c r="M4" s="31"/>
      <c r="N4" s="31"/>
      <c r="O4" s="31"/>
      <c r="P4" s="31"/>
      <c r="Q4" s="31"/>
      <c r="R4" s="31"/>
      <c r="S4" s="31"/>
      <c r="T4" s="31"/>
      <c r="U4" s="31"/>
    </row>
    <row r="5">
      <c r="A5" s="29" t="s">
        <v>18</v>
      </c>
      <c r="B5" s="29" t="s">
        <v>31</v>
      </c>
      <c r="C5" s="32">
        <f>Estatisticas!C19/SQRT(C2)</f>
        <v>0.008531756037</v>
      </c>
      <c r="D5" s="32">
        <f>Estatisticas!D19/SQRT(D2)</f>
        <v>0.000194509369</v>
      </c>
      <c r="E5" s="32">
        <f>Estatisticas!E19/SQRT(E2)</f>
        <v>0.008241819967</v>
      </c>
      <c r="F5" s="32">
        <f>Estatisticas!F19/SQRT(F2)</f>
        <v>0.03507742449</v>
      </c>
      <c r="G5" s="32">
        <f>Estatisticas!G19/SQRT(G2)</f>
        <v>0.2436236282</v>
      </c>
      <c r="H5" s="32">
        <f>Estatisticas!H19/SQRT(H2)</f>
        <v>0.0001851929243</v>
      </c>
      <c r="I5" s="32">
        <f>Estatisticas!I19/SQRT(I2)</f>
        <v>25.24069422</v>
      </c>
      <c r="J5" s="32">
        <f>Estatisticas!J19/SQRT(J2)</f>
        <v>14.66726094</v>
      </c>
      <c r="L5" s="31"/>
      <c r="M5" s="31"/>
      <c r="N5" s="31"/>
      <c r="O5" s="31"/>
      <c r="P5" s="31"/>
      <c r="Q5" s="31"/>
      <c r="R5" s="31"/>
      <c r="S5" s="31"/>
      <c r="T5" s="31"/>
      <c r="U5" s="31"/>
    </row>
    <row r="6">
      <c r="A6" s="29" t="s">
        <v>18</v>
      </c>
      <c r="B6" s="29" t="s">
        <v>32</v>
      </c>
      <c r="C6" s="32">
        <f t="shared" ref="C6:J6" si="2"> C4*C5</f>
        <v>0.01733861436</v>
      </c>
      <c r="D6" s="32">
        <f t="shared" si="2"/>
        <v>0.0003952905972</v>
      </c>
      <c r="E6" s="32">
        <f t="shared" si="2"/>
        <v>0.01674939338</v>
      </c>
      <c r="F6" s="32">
        <f t="shared" si="2"/>
        <v>0.07128590332</v>
      </c>
      <c r="G6" s="32">
        <f t="shared" si="2"/>
        <v>0.4951027807</v>
      </c>
      <c r="H6" s="32">
        <f t="shared" si="2"/>
        <v>0.0003763573037</v>
      </c>
      <c r="I6" s="32">
        <f t="shared" si="2"/>
        <v>51.29526223</v>
      </c>
      <c r="J6" s="32">
        <f t="shared" si="2"/>
        <v>29.80746051</v>
      </c>
      <c r="L6" s="31"/>
      <c r="M6" s="31"/>
      <c r="N6" s="31"/>
      <c r="O6" s="31"/>
      <c r="P6" s="31"/>
      <c r="Q6" s="31"/>
      <c r="R6" s="31"/>
      <c r="S6" s="31"/>
      <c r="T6" s="31"/>
      <c r="U6" s="31"/>
    </row>
    <row r="7">
      <c r="A7" s="29" t="s">
        <v>18</v>
      </c>
      <c r="B7" s="29" t="s">
        <v>33</v>
      </c>
      <c r="C7" s="32">
        <f> Estatisticas!C15-C6</f>
        <v>0.1265000663</v>
      </c>
      <c r="D7" s="32">
        <f> Estatisticas!D15-D6</f>
        <v>0.1092348918</v>
      </c>
      <c r="E7" s="32">
        <f> Estatisticas!E15-E6</f>
        <v>0.123011851</v>
      </c>
      <c r="F7" s="32">
        <f> Estatisticas!F15-F6</f>
        <v>0.1476336184</v>
      </c>
      <c r="G7" s="32">
        <f> Estatisticas!G15-G6</f>
        <v>0.5648597841</v>
      </c>
      <c r="H7" s="32">
        <f> Estatisticas!H15-H6</f>
        <v>0.03661467348</v>
      </c>
      <c r="I7" s="32">
        <f> Estatisticas!I15-I6</f>
        <v>359.4267232</v>
      </c>
      <c r="J7" s="32">
        <f> Estatisticas!J15-J6</f>
        <v>112.428081</v>
      </c>
      <c r="L7" s="31"/>
      <c r="M7" s="31"/>
      <c r="N7" s="31"/>
      <c r="O7" s="31"/>
      <c r="P7" s="31"/>
      <c r="Q7" s="31"/>
      <c r="R7" s="31"/>
      <c r="S7" s="31"/>
      <c r="T7" s="31"/>
      <c r="U7" s="31"/>
    </row>
    <row r="8">
      <c r="A8" s="29" t="s">
        <v>18</v>
      </c>
      <c r="B8" s="29" t="s">
        <v>34</v>
      </c>
      <c r="C8" s="32">
        <f> Estatisticas!C15+C6</f>
        <v>0.161177295</v>
      </c>
      <c r="D8" s="32">
        <f> Estatisticas!D15+D6</f>
        <v>0.110025473</v>
      </c>
      <c r="E8" s="32">
        <f> Estatisticas!E15+E6</f>
        <v>0.1565106377</v>
      </c>
      <c r="F8" s="32">
        <f> Estatisticas!F15+F6</f>
        <v>0.2902054251</v>
      </c>
      <c r="G8" s="32">
        <f> Estatisticas!G15+G6</f>
        <v>1.555065346</v>
      </c>
      <c r="H8" s="32">
        <f> Estatisticas!H15+H6</f>
        <v>0.03736738808</v>
      </c>
      <c r="I8" s="32">
        <f> Estatisticas!I15+I6</f>
        <v>462.0172477</v>
      </c>
      <c r="J8" s="32">
        <f> Estatisticas!J15+J6</f>
        <v>172.0430021</v>
      </c>
      <c r="L8" s="31"/>
      <c r="M8" s="31"/>
      <c r="N8" s="31"/>
      <c r="O8" s="31"/>
      <c r="P8" s="31"/>
      <c r="Q8" s="31"/>
      <c r="R8" s="31"/>
      <c r="S8" s="31"/>
      <c r="T8" s="31"/>
      <c r="U8" s="31"/>
    </row>
    <row r="12">
      <c r="A12" s="1" t="s">
        <v>25</v>
      </c>
      <c r="B12" s="1" t="s">
        <v>26</v>
      </c>
      <c r="C12" s="1" t="s">
        <v>1</v>
      </c>
      <c r="D12" s="1" t="s">
        <v>2</v>
      </c>
      <c r="E12" s="1" t="s">
        <v>3</v>
      </c>
      <c r="F12" s="1" t="s">
        <v>4</v>
      </c>
      <c r="G12" s="1" t="s">
        <v>5</v>
      </c>
      <c r="H12" s="5" t="s">
        <v>12</v>
      </c>
      <c r="I12" s="5" t="s">
        <v>27</v>
      </c>
      <c r="J12" s="5" t="s">
        <v>14</v>
      </c>
      <c r="L12" s="31"/>
      <c r="M12" s="31"/>
      <c r="N12" s="31"/>
      <c r="O12" s="31"/>
      <c r="P12" s="31"/>
      <c r="Q12" s="31"/>
      <c r="R12" s="31"/>
      <c r="S12" s="31"/>
      <c r="T12" s="31"/>
      <c r="U12" s="31"/>
    </row>
    <row r="13">
      <c r="A13" s="33" t="s">
        <v>19</v>
      </c>
      <c r="B13" s="29" t="s">
        <v>28</v>
      </c>
      <c r="C13" s="34">
        <f> ROWS(Tradicional_Sem_Outliers[lat_mean_s_tradicional])</f>
        <v>33</v>
      </c>
      <c r="D13" s="34">
        <f> ROWS(Tradicional_Sem_Outliers[lat_mean_s_tradicional])</f>
        <v>33</v>
      </c>
      <c r="E13" s="34">
        <f> ROWS(Tradicional_Sem_Outliers[lat_mean_s_tradicional])</f>
        <v>33</v>
      </c>
      <c r="F13" s="34">
        <f> ROWS(Tradicional_Sem_Outliers[lat_mean_s_tradicional])</f>
        <v>33</v>
      </c>
      <c r="G13" s="34">
        <f> ROWS(Tradicional_Sem_Outliers[lat_mean_s_tradicional])</f>
        <v>33</v>
      </c>
      <c r="H13" s="34">
        <f> ROWS(Tradicional_Sem_Outliers[lat_mean_s_tradicional])</f>
        <v>33</v>
      </c>
      <c r="I13" s="34">
        <f> ROWS(Tradicional_Sem_Outliers[lat_mean_s_tradicional])</f>
        <v>33</v>
      </c>
      <c r="J13" s="34">
        <f> ROWS(Tradicional_Sem_Outliers[lat_mean_s_tradicional])</f>
        <v>33</v>
      </c>
      <c r="L13" s="31"/>
      <c r="M13" s="31"/>
      <c r="N13" s="31"/>
      <c r="O13" s="31"/>
      <c r="P13" s="31"/>
      <c r="Q13" s="31"/>
      <c r="R13" s="31"/>
      <c r="S13" s="31"/>
      <c r="T13" s="31"/>
      <c r="U13" s="31"/>
    </row>
    <row r="14">
      <c r="A14" s="33" t="s">
        <v>19</v>
      </c>
      <c r="B14" s="29" t="s">
        <v>29</v>
      </c>
      <c r="C14" s="34">
        <f> ROWS(Tradicional_Sem_Outliers[lat_mean_s_tradicional])-1</f>
        <v>32</v>
      </c>
      <c r="D14" s="34">
        <f> ROWS(Tradicional_Sem_Outliers[lat_mean_s_tradicional])-1</f>
        <v>32</v>
      </c>
      <c r="E14" s="34">
        <f> ROWS(Tradicional_Sem_Outliers[lat_mean_s_tradicional])-1</f>
        <v>32</v>
      </c>
      <c r="F14" s="34">
        <f> ROWS(Tradicional_Sem_Outliers[lat_mean_s_tradicional])-1</f>
        <v>32</v>
      </c>
      <c r="G14" s="34">
        <f> ROWS(Tradicional_Sem_Outliers[lat_mean_s_tradicional])-1</f>
        <v>32</v>
      </c>
      <c r="H14" s="34">
        <f> ROWS(Tradicional_Sem_Outliers[lat_mean_s_tradicional])-1</f>
        <v>32</v>
      </c>
      <c r="I14" s="34">
        <f> ROWS(Tradicional_Sem_Outliers[lat_mean_s_tradicional])-1</f>
        <v>32</v>
      </c>
      <c r="J14" s="34">
        <f> ROWS(Tradicional_Sem_Outliers[lat_mean_s_tradicional])-1</f>
        <v>32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</row>
    <row r="15">
      <c r="A15" s="33" t="s">
        <v>19</v>
      </c>
      <c r="B15" s="29" t="s">
        <v>30</v>
      </c>
      <c r="C15" s="34">
        <f t="shared" ref="C15:J15" si="3"> _xlfn.T.INV(0.975, C14) </f>
        <v>2.036933343</v>
      </c>
      <c r="D15" s="34">
        <f t="shared" si="3"/>
        <v>2.036933343</v>
      </c>
      <c r="E15" s="34">
        <f t="shared" si="3"/>
        <v>2.036933343</v>
      </c>
      <c r="F15" s="34">
        <f t="shared" si="3"/>
        <v>2.036933343</v>
      </c>
      <c r="G15" s="34">
        <f t="shared" si="3"/>
        <v>2.036933343</v>
      </c>
      <c r="H15" s="34">
        <f t="shared" si="3"/>
        <v>2.036933343</v>
      </c>
      <c r="I15" s="34">
        <f t="shared" si="3"/>
        <v>2.036933343</v>
      </c>
      <c r="J15" s="34">
        <f t="shared" si="3"/>
        <v>2.036933343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</row>
    <row r="16">
      <c r="A16" s="33" t="s">
        <v>19</v>
      </c>
      <c r="B16" s="29" t="s">
        <v>31</v>
      </c>
      <c r="C16" s="34">
        <f>Estatisticas!C24/SQRT(C13)</f>
        <v>0.0152248484</v>
      </c>
      <c r="D16" s="34">
        <f>Estatisticas!D24/SQRT(D13)</f>
        <v>0.0003298660838</v>
      </c>
      <c r="E16" s="34">
        <f>Estatisticas!E24/SQRT(E13)</f>
        <v>0.009377136371</v>
      </c>
      <c r="F16" s="34">
        <f>Estatisticas!F24/SQRT(F13)</f>
        <v>0.05517256094</v>
      </c>
      <c r="G16" s="34">
        <f>Estatisticas!G24/SQRT(G13)</f>
        <v>0.4869332022</v>
      </c>
      <c r="H16" s="34">
        <f>Estatisticas!H24/SQRT(H13)</f>
        <v>0.0001662395354</v>
      </c>
      <c r="I16" s="34">
        <f>Estatisticas!I24/SQRT(I13)</f>
        <v>21.67926337</v>
      </c>
      <c r="J16" s="34">
        <f>Estatisticas!J24/SQRT(J13)</f>
        <v>12.83502856</v>
      </c>
      <c r="L16" s="31"/>
      <c r="M16" s="31"/>
      <c r="N16" s="31"/>
      <c r="O16" s="31"/>
      <c r="P16" s="31"/>
      <c r="Q16" s="31"/>
      <c r="R16" s="31"/>
      <c r="S16" s="31"/>
      <c r="T16" s="31"/>
      <c r="U16" s="31"/>
    </row>
    <row r="17">
      <c r="A17" s="33" t="s">
        <v>19</v>
      </c>
      <c r="B17" s="29" t="s">
        <v>32</v>
      </c>
      <c r="C17" s="34">
        <f t="shared" ref="C17:J17" si="4"> C15*C16</f>
        <v>0.03101200135</v>
      </c>
      <c r="D17" s="34">
        <f t="shared" si="4"/>
        <v>0.000671915225</v>
      </c>
      <c r="E17" s="34">
        <f t="shared" si="4"/>
        <v>0.01910060174</v>
      </c>
      <c r="F17" s="34">
        <f t="shared" si="4"/>
        <v>0.112382829</v>
      </c>
      <c r="G17" s="34">
        <f t="shared" si="4"/>
        <v>0.9918504756</v>
      </c>
      <c r="H17" s="34">
        <f t="shared" si="4"/>
        <v>0.0003386188527</v>
      </c>
      <c r="I17" s="34">
        <f t="shared" si="4"/>
        <v>44.15921442</v>
      </c>
      <c r="J17" s="34">
        <f t="shared" si="4"/>
        <v>26.14409765</v>
      </c>
      <c r="L17" s="31"/>
      <c r="M17" s="31"/>
      <c r="N17" s="31"/>
      <c r="O17" s="31"/>
      <c r="P17" s="31"/>
      <c r="Q17" s="31"/>
      <c r="R17" s="31"/>
      <c r="S17" s="31"/>
      <c r="T17" s="31"/>
      <c r="U17" s="31"/>
    </row>
    <row r="18">
      <c r="A18" s="33" t="s">
        <v>19</v>
      </c>
      <c r="B18" s="29" t="s">
        <v>33</v>
      </c>
      <c r="C18" s="34">
        <f> Estatisticas!C20-C17</f>
        <v>0.1451903232</v>
      </c>
      <c r="D18" s="34">
        <f> Estatisticas!D20-D17</f>
        <v>0.1112033524</v>
      </c>
      <c r="E18" s="34">
        <f> Estatisticas!E20-E17</f>
        <v>0.1362312498</v>
      </c>
      <c r="F18" s="34">
        <f> Estatisticas!F20-F17</f>
        <v>0.2222033009</v>
      </c>
      <c r="G18" s="34">
        <f> Estatisticas!G20-G17</f>
        <v>0.9513358055</v>
      </c>
      <c r="H18" s="34">
        <f> Estatisticas!H20-H17</f>
        <v>0.08222328578</v>
      </c>
      <c r="I18" s="34">
        <f> Estatisticas!I20-I17</f>
        <v>418.0647491</v>
      </c>
      <c r="J18" s="34">
        <f> Estatisticas!J20-J17</f>
        <v>153.4869923</v>
      </c>
      <c r="L18" s="31"/>
      <c r="M18" s="31"/>
      <c r="N18" s="31"/>
      <c r="O18" s="31"/>
      <c r="P18" s="31"/>
      <c r="Q18" s="31"/>
      <c r="R18" s="31"/>
      <c r="S18" s="31"/>
      <c r="T18" s="31"/>
      <c r="U18" s="31"/>
    </row>
    <row r="19">
      <c r="A19" s="33" t="s">
        <v>19</v>
      </c>
      <c r="B19" s="29" t="s">
        <v>34</v>
      </c>
      <c r="C19" s="34">
        <f> Estatisticas!C20+C17</f>
        <v>0.2072143259</v>
      </c>
      <c r="D19" s="34">
        <f> Estatisticas!D20+D17</f>
        <v>0.1125471828</v>
      </c>
      <c r="E19" s="34">
        <f> Estatisticas!E20+E17</f>
        <v>0.1744324533</v>
      </c>
      <c r="F19" s="34">
        <f> Estatisticas!F20+F17</f>
        <v>0.4469689589</v>
      </c>
      <c r="G19" s="34">
        <f> Estatisticas!G20+G17</f>
        <v>2.935036757</v>
      </c>
      <c r="H19" s="34">
        <f> Estatisticas!H20+H17</f>
        <v>0.08290052349</v>
      </c>
      <c r="I19" s="34">
        <f> Estatisticas!I20+I17</f>
        <v>506.383178</v>
      </c>
      <c r="J19" s="34">
        <f> Estatisticas!J20+J17</f>
        <v>205.7751875</v>
      </c>
      <c r="L19" s="31"/>
      <c r="M19" s="31"/>
      <c r="N19" s="31"/>
      <c r="O19" s="31"/>
      <c r="P19" s="31"/>
      <c r="Q19" s="31"/>
      <c r="R19" s="31"/>
      <c r="S19" s="31"/>
      <c r="T19" s="31"/>
      <c r="U19" s="31"/>
    </row>
    <row r="21">
      <c r="A21" s="31"/>
      <c r="B21" s="31"/>
      <c r="C21" s="31"/>
      <c r="D21" s="31"/>
      <c r="E21" s="31"/>
      <c r="F21" s="31"/>
      <c r="G21" s="31"/>
      <c r="H21" s="31"/>
      <c r="I21" s="31"/>
      <c r="J21" s="31"/>
    </row>
    <row r="22">
      <c r="A22" s="1" t="s">
        <v>25</v>
      </c>
      <c r="B22" s="1" t="s">
        <v>35</v>
      </c>
      <c r="C22" s="1" t="s">
        <v>1</v>
      </c>
      <c r="D22" s="1" t="s">
        <v>2</v>
      </c>
      <c r="E22" s="1" t="s">
        <v>3</v>
      </c>
      <c r="F22" s="1" t="s">
        <v>4</v>
      </c>
      <c r="G22" s="1" t="s">
        <v>5</v>
      </c>
      <c r="H22" s="1" t="s">
        <v>12</v>
      </c>
      <c r="I22" s="1" t="s">
        <v>13</v>
      </c>
      <c r="J22" s="1" t="s">
        <v>14</v>
      </c>
    </row>
    <row r="23">
      <c r="A23" s="29" t="s">
        <v>19</v>
      </c>
      <c r="B23" s="29" t="s">
        <v>36</v>
      </c>
      <c r="C23" s="35">
        <f>(C19-C18)/Estatisticas!C20</f>
        <v>0.352004452</v>
      </c>
      <c r="D23" s="35">
        <f>(D19-D18)/Estatisticas!D20</f>
        <v>0.01201186356</v>
      </c>
      <c r="E23" s="35">
        <f>(E19-E18)/Estatisticas!E20</f>
        <v>0.2459328406</v>
      </c>
      <c r="F23" s="35">
        <f>(F19-F18)/Estatisticas!F20</f>
        <v>0.6717721924</v>
      </c>
      <c r="G23" s="35">
        <f>(G19-G18)/Estatisticas!G20</f>
        <v>1.020849607</v>
      </c>
      <c r="H23" s="35">
        <f>(H19-H18)/Estatisticas!H20</f>
        <v>0.008202786847</v>
      </c>
      <c r="I23" s="35">
        <f>(I19-I18)/Estatisticas!I20</f>
        <v>0.1910728041</v>
      </c>
      <c r="J23" s="35">
        <f>(J19-J18)/Estatisticas!J20</f>
        <v>0.2910865559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</row>
    <row r="24">
      <c r="A24" s="29" t="s">
        <v>18</v>
      </c>
      <c r="B24" s="29" t="s">
        <v>36</v>
      </c>
      <c r="C24" s="35">
        <f> (C8-C7)/Estatisticas!C15</f>
        <v>0.2410841685</v>
      </c>
      <c r="D24" s="35">
        <f> (D8-D7)/Estatisticas!D15</f>
        <v>0.007211346156</v>
      </c>
      <c r="E24" s="35">
        <f> (E8-E7)/Estatisticas!E15</f>
        <v>0.2396858078</v>
      </c>
      <c r="F24" s="35">
        <f> (F8-F7)/Estatisticas!F15</f>
        <v>0.6512521382</v>
      </c>
      <c r="G24" s="35">
        <f> (G8-G7)/Estatisticas!G15</f>
        <v>0.9341891821</v>
      </c>
      <c r="H24" s="35">
        <f> (H8-H7)/Estatisticas!H15</f>
        <v>0.02034857076</v>
      </c>
      <c r="I24" s="35">
        <f> (I8-I7)/Estatisticas!I15</f>
        <v>0.2497809421</v>
      </c>
      <c r="J24" s="35">
        <f> (J8-J7)/Estatisticas!J15</f>
        <v>0.4191281614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</row>
    <row r="25">
      <c r="C25" s="36"/>
      <c r="D25" s="36"/>
      <c r="E25" s="36"/>
      <c r="F25" s="36"/>
      <c r="G25" s="36"/>
      <c r="H25" s="36"/>
      <c r="I25" s="36"/>
      <c r="J25" s="36"/>
      <c r="L25" s="31"/>
      <c r="M25" s="31"/>
      <c r="N25" s="31"/>
      <c r="O25" s="31"/>
      <c r="P25" s="31"/>
      <c r="Q25" s="31"/>
      <c r="R25" s="31"/>
      <c r="S25" s="31"/>
      <c r="T25" s="31"/>
      <c r="U25" s="31"/>
    </row>
    <row r="26">
      <c r="C26" s="36"/>
      <c r="D26" s="36"/>
      <c r="E26" s="36"/>
      <c r="F26" s="36"/>
      <c r="G26" s="36"/>
      <c r="H26" s="36"/>
      <c r="I26" s="36"/>
      <c r="J26" s="36"/>
      <c r="L26" s="31"/>
      <c r="M26" s="31"/>
      <c r="N26" s="31"/>
      <c r="O26" s="31"/>
      <c r="P26" s="31"/>
      <c r="Q26" s="31"/>
      <c r="R26" s="31"/>
      <c r="S26" s="31"/>
      <c r="T26" s="31"/>
      <c r="U26" s="31"/>
    </row>
    <row r="27">
      <c r="L27" s="31"/>
      <c r="M27" s="31"/>
      <c r="N27" s="31"/>
      <c r="O27" s="31"/>
      <c r="P27" s="31"/>
      <c r="Q27" s="31"/>
      <c r="R27" s="31"/>
      <c r="S27" s="31"/>
      <c r="T27" s="31"/>
      <c r="U27" s="31"/>
    </row>
    <row r="28">
      <c r="L28" s="31"/>
      <c r="M28" s="31"/>
      <c r="N28" s="31"/>
      <c r="O28" s="31"/>
      <c r="P28" s="31"/>
      <c r="Q28" s="31"/>
      <c r="R28" s="31"/>
      <c r="S28" s="31"/>
      <c r="T28" s="31"/>
      <c r="U28" s="31"/>
    </row>
    <row r="30">
      <c r="A30" s="31"/>
      <c r="B30" s="31"/>
      <c r="C30" s="31"/>
      <c r="D30" s="31"/>
      <c r="E30" s="31"/>
      <c r="F30" s="31"/>
      <c r="G30" s="31"/>
      <c r="H30" s="31"/>
      <c r="I30" s="31"/>
      <c r="J30" s="31"/>
    </row>
    <row r="31">
      <c r="A31" s="31"/>
      <c r="B31" s="31"/>
      <c r="C31" s="31"/>
      <c r="D31" s="31"/>
      <c r="E31" s="31"/>
      <c r="F31" s="31"/>
      <c r="G31" s="31"/>
      <c r="H31" s="31"/>
      <c r="I31" s="31"/>
      <c r="J31" s="31"/>
    </row>
    <row r="32">
      <c r="A32" s="31"/>
      <c r="B32" s="31"/>
      <c r="C32" s="31"/>
      <c r="D32" s="31"/>
      <c r="E32" s="31"/>
      <c r="F32" s="31"/>
      <c r="G32" s="31"/>
      <c r="H32" s="31"/>
      <c r="I32" s="31"/>
      <c r="J32" s="31"/>
    </row>
    <row r="33">
      <c r="A33" s="31"/>
      <c r="B33" s="31"/>
      <c r="C33" s="31"/>
      <c r="D33" s="31"/>
      <c r="E33" s="31"/>
      <c r="F33" s="31"/>
      <c r="G33" s="31"/>
      <c r="H33" s="31"/>
      <c r="I33" s="31"/>
      <c r="J33" s="31"/>
    </row>
    <row r="34">
      <c r="A34" s="31"/>
      <c r="B34" s="31"/>
      <c r="C34" s="31"/>
      <c r="D34" s="31"/>
      <c r="E34" s="31"/>
      <c r="F34" s="31"/>
      <c r="G34" s="31"/>
      <c r="H34" s="31"/>
      <c r="I34" s="31"/>
      <c r="J34" s="31"/>
    </row>
    <row r="35">
      <c r="A35" s="31"/>
      <c r="B35" s="31"/>
      <c r="C35" s="31"/>
      <c r="D35" s="31"/>
      <c r="E35" s="31"/>
      <c r="F35" s="31"/>
      <c r="G35" s="31"/>
      <c r="H35" s="31"/>
      <c r="I35" s="31"/>
      <c r="J35" s="31"/>
    </row>
    <row r="36">
      <c r="A36" s="31"/>
      <c r="B36" s="31"/>
      <c r="C36" s="31"/>
      <c r="D36" s="31"/>
      <c r="E36" s="31"/>
      <c r="F36" s="31"/>
      <c r="G36" s="31"/>
      <c r="H36" s="31"/>
      <c r="I36" s="31"/>
      <c r="J36" s="31"/>
    </row>
    <row r="37">
      <c r="A37" s="31"/>
      <c r="B37" s="31"/>
      <c r="C37" s="31"/>
      <c r="D37" s="31"/>
      <c r="E37" s="31"/>
      <c r="F37" s="31"/>
      <c r="G37" s="31"/>
      <c r="H37" s="31"/>
      <c r="I37" s="31"/>
      <c r="J37" s="31"/>
    </row>
    <row r="38">
      <c r="A38" s="31"/>
      <c r="B38" s="31"/>
      <c r="C38" s="31"/>
      <c r="D38" s="31"/>
      <c r="E38" s="31"/>
      <c r="F38" s="31"/>
      <c r="G38" s="31"/>
      <c r="H38" s="31"/>
      <c r="I38" s="31"/>
      <c r="J38" s="31"/>
    </row>
    <row r="39">
      <c r="A39" s="31"/>
      <c r="B39" s="31"/>
      <c r="C39" s="31"/>
      <c r="D39" s="31"/>
      <c r="E39" s="31"/>
      <c r="F39" s="31"/>
      <c r="G39" s="31"/>
      <c r="H39" s="31"/>
      <c r="I39" s="31"/>
      <c r="J39" s="31"/>
    </row>
    <row r="40">
      <c r="A40" s="31"/>
      <c r="B40" s="31"/>
      <c r="C40" s="31"/>
      <c r="D40" s="31"/>
      <c r="E40" s="31"/>
      <c r="F40" s="31"/>
      <c r="G40" s="31"/>
      <c r="H40" s="31"/>
      <c r="I40" s="31"/>
      <c r="J40" s="31"/>
    </row>
  </sheetData>
  <dataValidations>
    <dataValidation type="custom" allowBlank="1" showDropDown="1" sqref="C2:J8 C13:J19 C23:J24">
      <formula1>AND(ISNUMBER(C2),(NOT(OR(NOT(ISERROR(DATEVALUE(C2))), AND(ISNUMBER(C2), LEFT(CELL("format", C2))="D")))))</formula1>
    </dataValidation>
  </dataValidations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7.38"/>
    <col customWidth="1" min="3" max="3" width="18.38"/>
    <col customWidth="1" min="4" max="4" width="17.25"/>
    <col customWidth="1" min="5" max="5" width="15.5"/>
    <col customWidth="1" min="6" max="6" width="15.63"/>
  </cols>
  <sheetData>
    <row r="1" ht="18.75" customHeight="1">
      <c r="A1" s="1" t="s">
        <v>26</v>
      </c>
      <c r="B1" s="1" t="s">
        <v>37</v>
      </c>
      <c r="C1" s="1" t="s">
        <v>38</v>
      </c>
      <c r="D1" s="31"/>
      <c r="E1" s="1" t="s">
        <v>26</v>
      </c>
      <c r="F1" s="1" t="s">
        <v>37</v>
      </c>
      <c r="G1" s="1" t="s">
        <v>38</v>
      </c>
    </row>
    <row r="2">
      <c r="A2" s="29" t="s">
        <v>39</v>
      </c>
      <c r="B2" s="12">
        <f>QUARTILE(Virtual[lat_mean_s], 1)</f>
        <v>0.1145114373</v>
      </c>
      <c r="C2" s="12">
        <f>QUARTILE(Tradicional[lat_mean_s], 1)</f>
        <v>0.1169740305</v>
      </c>
      <c r="D2" s="31"/>
      <c r="E2" s="29" t="s">
        <v>39</v>
      </c>
      <c r="F2" s="35">
        <f>QUARTILE(Virtual[cpu_mean], 1)</f>
        <v>0.03606294392</v>
      </c>
      <c r="G2" s="35">
        <f>QUARTILE(Tradicional[cpu_mean], 1)</f>
        <v>0.08115182003</v>
      </c>
    </row>
    <row r="3">
      <c r="A3" s="29" t="s">
        <v>40</v>
      </c>
      <c r="B3" s="12">
        <f>QUARTILE(Virtual[lat_mean_s], 3)</f>
        <v>0.3264796385</v>
      </c>
      <c r="C3" s="12">
        <f>QUARTILE(Tradicional[lat_mean_s], 3)</f>
        <v>0.3370770235</v>
      </c>
      <c r="D3" s="31"/>
      <c r="E3" s="29" t="s">
        <v>40</v>
      </c>
      <c r="F3" s="35">
        <f>QUARTILE(Virtual[cpu_mean], 3)</f>
        <v>0.03827059904</v>
      </c>
      <c r="G3" s="35">
        <f>QUARTILE(Tradicional[cpu_mean], 3)</f>
        <v>0.08331439381</v>
      </c>
    </row>
    <row r="4">
      <c r="A4" s="29" t="s">
        <v>41</v>
      </c>
      <c r="B4" s="12">
        <f t="shared" ref="B4:C4" si="1">B3 - B2</f>
        <v>0.2119682013</v>
      </c>
      <c r="C4" s="12">
        <f t="shared" si="1"/>
        <v>0.220102993</v>
      </c>
      <c r="D4" s="31"/>
      <c r="E4" s="29" t="s">
        <v>41</v>
      </c>
      <c r="F4" s="35">
        <f t="shared" ref="F4:G4" si="2">F3 - F2</f>
        <v>0.002207655124</v>
      </c>
      <c r="G4" s="35">
        <f t="shared" si="2"/>
        <v>0.00216257378</v>
      </c>
    </row>
    <row r="5">
      <c r="A5" s="29" t="s">
        <v>42</v>
      </c>
      <c r="B5" s="12">
        <f t="shared" ref="B5:C5" si="3">B2 - 1.5 * B4</f>
        <v>-0.2034408646</v>
      </c>
      <c r="C5" s="12">
        <f t="shared" si="3"/>
        <v>-0.213180459</v>
      </c>
      <c r="D5" s="31"/>
      <c r="E5" s="29" t="s">
        <v>42</v>
      </c>
      <c r="F5" s="35">
        <f t="shared" ref="F5:G5" si="4">F2 - 1.5 * F4</f>
        <v>0.03275146123</v>
      </c>
      <c r="G5" s="35">
        <f t="shared" si="4"/>
        <v>0.07790795936</v>
      </c>
    </row>
    <row r="6">
      <c r="A6" s="29" t="s">
        <v>43</v>
      </c>
      <c r="B6" s="12">
        <f t="shared" ref="B6:C6" si="5">B2 + 1.5 * B4</f>
        <v>0.4324637391</v>
      </c>
      <c r="C6" s="12">
        <f t="shared" si="5"/>
        <v>0.44712852</v>
      </c>
      <c r="D6" s="31"/>
      <c r="E6" s="29" t="s">
        <v>43</v>
      </c>
      <c r="F6" s="35">
        <f t="shared" ref="F6:G6" si="6">F2 + 1.5 * F4</f>
        <v>0.0393744266</v>
      </c>
      <c r="G6" s="35">
        <f t="shared" si="6"/>
        <v>0.0843956807</v>
      </c>
    </row>
    <row r="9">
      <c r="A9" s="1" t="s">
        <v>26</v>
      </c>
      <c r="B9" s="1" t="s">
        <v>37</v>
      </c>
      <c r="C9" s="1" t="s">
        <v>38</v>
      </c>
      <c r="E9" s="1" t="s">
        <v>26</v>
      </c>
      <c r="F9" s="1" t="s">
        <v>37</v>
      </c>
      <c r="G9" s="1" t="s">
        <v>38</v>
      </c>
    </row>
    <row r="10">
      <c r="A10" s="29" t="s">
        <v>39</v>
      </c>
      <c r="B10" s="37">
        <f>QUARTILE(Virtual[mem_used_mb], 1)</f>
        <v>291.2533209</v>
      </c>
      <c r="C10" s="37">
        <f>QUARTILE(Tradicional[mem_used_mb], 1)</f>
        <v>338.1451584</v>
      </c>
      <c r="E10" s="29" t="s">
        <v>39</v>
      </c>
      <c r="F10" s="37">
        <f>QUARTILE(Virtual[heap_used_mb], 1)</f>
        <v>88.25080207</v>
      </c>
      <c r="G10" s="37">
        <f>QUARTILE(Tradicional[heap_used_mb], 1)</f>
        <v>100.2518835</v>
      </c>
    </row>
    <row r="11">
      <c r="A11" s="29" t="s">
        <v>40</v>
      </c>
      <c r="B11" s="37">
        <f>QUARTILE(Virtual[mem_used_mb], 3)</f>
        <v>624.8635527</v>
      </c>
      <c r="C11" s="37">
        <f>QUARTILE(Tradicional[mem_used_mb], 3)</f>
        <v>610.9930621</v>
      </c>
      <c r="E11" s="29" t="s">
        <v>40</v>
      </c>
      <c r="F11" s="37">
        <f>QUARTILE(Virtual[heap_used_mb], 3)</f>
        <v>295.6354729</v>
      </c>
      <c r="G11" s="37">
        <f>QUARTILE(Tradicional[heap_used_mb], 3)</f>
        <v>281.2705414</v>
      </c>
    </row>
    <row r="12">
      <c r="A12" s="29" t="s">
        <v>41</v>
      </c>
      <c r="B12" s="37">
        <f t="shared" ref="B12:C12" si="7">B11 - B10</f>
        <v>333.6102318</v>
      </c>
      <c r="C12" s="37">
        <f t="shared" si="7"/>
        <v>272.8479037</v>
      </c>
      <c r="E12" s="29" t="s">
        <v>41</v>
      </c>
      <c r="F12" s="37">
        <f t="shared" ref="F12:G12" si="8">F11 - F10</f>
        <v>207.3846709</v>
      </c>
      <c r="G12" s="37">
        <f t="shared" si="8"/>
        <v>181.0186579</v>
      </c>
    </row>
    <row r="13">
      <c r="A13" s="29" t="s">
        <v>42</v>
      </c>
      <c r="B13" s="37">
        <f t="shared" ref="B13:C13" si="9">B10 - 1.5 * B12</f>
        <v>-209.1620268</v>
      </c>
      <c r="C13" s="37">
        <f t="shared" si="9"/>
        <v>-71.12669719</v>
      </c>
      <c r="E13" s="29" t="s">
        <v>42</v>
      </c>
      <c r="F13" s="37">
        <f t="shared" ref="F13:G13" si="10">F10 - 1.5 * F12</f>
        <v>-222.8262042</v>
      </c>
      <c r="G13" s="37">
        <f t="shared" si="10"/>
        <v>-171.2761033</v>
      </c>
    </row>
    <row r="14">
      <c r="A14" s="29" t="s">
        <v>43</v>
      </c>
      <c r="B14" s="37">
        <f t="shared" ref="B14:C14" si="11">B10 + 1.5 * B12</f>
        <v>791.6686686</v>
      </c>
      <c r="C14" s="37">
        <f t="shared" si="11"/>
        <v>747.4170139</v>
      </c>
      <c r="E14" s="29" t="s">
        <v>43</v>
      </c>
      <c r="F14" s="37">
        <f t="shared" ref="F14:G14" si="12">F10 + 1.5 * F12</f>
        <v>399.3278084</v>
      </c>
      <c r="G14" s="37">
        <f t="shared" si="12"/>
        <v>371.7798703</v>
      </c>
    </row>
  </sheetData>
  <dataValidations>
    <dataValidation type="custom" allowBlank="1" showDropDown="1" sqref="F2:G6 F10:G14 B10:C14">
      <formula1>AND(ISNUMBER(B2),(NOT(OR(NOT(ISERROR(DATEVALUE(B2))), AND(ISNUMBER(B2), LEFT(CELL("format", B2))="D")))))</formula1>
    </dataValidation>
  </dataValidations>
  <drawing r:id="rId1"/>
  <tableParts count="4">
    <tablePart r:id="rId6"/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3.38"/>
    <col customWidth="1" min="3" max="3" width="11.13"/>
    <col customWidth="1" min="4" max="4" width="11.38"/>
    <col customWidth="1" min="5" max="5" width="11.25"/>
    <col customWidth="1" min="6" max="6" width="11.0"/>
    <col customWidth="1" min="7" max="7" width="12.13"/>
    <col customWidth="1" min="8" max="8" width="10.88"/>
    <col customWidth="1" min="9" max="9" width="9.13"/>
    <col customWidth="1" min="10" max="10" width="11.75"/>
    <col customWidth="1" min="11" max="11" width="11.38"/>
    <col customWidth="1" min="12" max="12" width="19.0"/>
    <col customWidth="1" min="15" max="15" width="15.25"/>
  </cols>
  <sheetData>
    <row r="1">
      <c r="A1" s="1" t="s">
        <v>0</v>
      </c>
      <c r="B1" s="2" t="s">
        <v>44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1" t="s">
        <v>10</v>
      </c>
      <c r="L1" s="4" t="s">
        <v>11</v>
      </c>
      <c r="M1" s="5" t="s">
        <v>12</v>
      </c>
      <c r="N1" s="5" t="s">
        <v>13</v>
      </c>
      <c r="O1" s="5" t="s">
        <v>14</v>
      </c>
    </row>
    <row r="2">
      <c r="A2" s="38">
        <f>IFERROR(__xludf.DUMMYFUNCTION("FILTER(Dados!A2:O51, Dados!P2:P51 = ""OK"")
"),2.0)</f>
        <v>2</v>
      </c>
      <c r="B2" s="30">
        <f>IFERROR(__xludf.DUMMYFUNCTION("""COMPUTED_VALUE"""),0.143919951)</f>
        <v>0.143919951</v>
      </c>
      <c r="C2" s="30">
        <f>IFERROR(__xludf.DUMMYFUNCTION("""COMPUTED_VALUE"""),0.10859756)</f>
        <v>0.10859756</v>
      </c>
      <c r="D2" s="30">
        <f>IFERROR(__xludf.DUMMYFUNCTION("""COMPUTED_VALUE"""),0.125190161)</f>
        <v>0.125190161</v>
      </c>
      <c r="E2" s="30">
        <f>IFERROR(__xludf.DUMMYFUNCTION("""COMPUTED_VALUE"""),0.208158526)</f>
        <v>0.208158526</v>
      </c>
      <c r="F2" s="30">
        <f>IFERROR(__xludf.DUMMYFUNCTION("""COMPUTED_VALUE"""),1.046642551)</f>
        <v>1.046642551</v>
      </c>
      <c r="G2" s="30">
        <f>IFERROR(__xludf.DUMMYFUNCTION("""COMPUTED_VALUE"""),9.832742925)</f>
        <v>9.832742925</v>
      </c>
      <c r="H2" s="39">
        <f>IFERROR(__xludf.DUMMYFUNCTION("""COMPUTED_VALUE"""),600000.0)</f>
        <v>600000</v>
      </c>
      <c r="I2" s="30">
        <f>IFERROR(__xludf.DUMMYFUNCTION("""COMPUTED_VALUE"""),1000.00161084592)</f>
        <v>1000.001611</v>
      </c>
      <c r="J2" s="30">
        <f>IFERROR(__xludf.DUMMYFUNCTION("""COMPUTED_VALUE"""),999.820119086586)</f>
        <v>999.8201191</v>
      </c>
      <c r="K2" s="40">
        <f>IFERROR(__xludf.DUMMYFUNCTION("""COMPUTED_VALUE"""),0.999996666666666)</f>
        <v>0.9999966667</v>
      </c>
      <c r="L2" s="41">
        <f>IFERROR(__xludf.DUMMYFUNCTION("""COMPUTED_VALUE"""),1.9799934E7)</f>
        <v>19799934</v>
      </c>
      <c r="M2" s="42">
        <f>IFERROR(__xludf.DUMMYFUNCTION("""COMPUTED_VALUE"""),0.0369968075897993)</f>
        <v>0.03699680759</v>
      </c>
      <c r="N2" s="43">
        <f>IFERROR(__xludf.DUMMYFUNCTION("""COMPUTED_VALUE"""),733.641687760966)</f>
        <v>733.6416878</v>
      </c>
      <c r="O2" s="37">
        <f>IFERROR(__xludf.DUMMYFUNCTION("""COMPUTED_VALUE"""),351.826790106101)</f>
        <v>351.8267901</v>
      </c>
    </row>
    <row r="3">
      <c r="A3" s="38">
        <f>IFERROR(__xludf.DUMMYFUNCTION("""COMPUTED_VALUE"""),4.0)</f>
        <v>4</v>
      </c>
      <c r="B3" s="30">
        <f>IFERROR(__xludf.DUMMYFUNCTION("""COMPUTED_VALUE"""),0.124497518)</f>
        <v>0.124497518</v>
      </c>
      <c r="C3" s="30">
        <f>IFERROR(__xludf.DUMMYFUNCTION("""COMPUTED_VALUE"""),0.108805519)</f>
        <v>0.108805519</v>
      </c>
      <c r="D3" s="30">
        <f>IFERROR(__xludf.DUMMYFUNCTION("""COMPUTED_VALUE"""),0.123807358)</f>
        <v>0.123807358</v>
      </c>
      <c r="E3" s="30">
        <f>IFERROR(__xludf.DUMMYFUNCTION("""COMPUTED_VALUE"""),0.141385531)</f>
        <v>0.141385531</v>
      </c>
      <c r="F3" s="30">
        <f>IFERROR(__xludf.DUMMYFUNCTION("""COMPUTED_VALUE"""),0.373955079)</f>
        <v>0.373955079</v>
      </c>
      <c r="G3" s="30">
        <f>IFERROR(__xludf.DUMMYFUNCTION("""COMPUTED_VALUE"""),6.102789987)</f>
        <v>6.102789987</v>
      </c>
      <c r="H3" s="39">
        <f>IFERROR(__xludf.DUMMYFUNCTION("""COMPUTED_VALUE"""),600000.0)</f>
        <v>600000</v>
      </c>
      <c r="I3" s="30">
        <f>IFERROR(__xludf.DUMMYFUNCTION("""COMPUTED_VALUE"""),1000.00146625881)</f>
        <v>1000.001466</v>
      </c>
      <c r="J3" s="30">
        <f>IFERROR(__xludf.DUMMYFUNCTION("""COMPUTED_VALUE"""),999.779353145778)</f>
        <v>999.7793531</v>
      </c>
      <c r="K3" s="40">
        <f>IFERROR(__xludf.DUMMYFUNCTION("""COMPUTED_VALUE"""),1.0)</f>
        <v>1</v>
      </c>
      <c r="L3" s="41">
        <f>IFERROR(__xludf.DUMMYFUNCTION("""COMPUTED_VALUE"""),1.98E7)</f>
        <v>19800000</v>
      </c>
      <c r="M3" s="42">
        <f>IFERROR(__xludf.DUMMYFUNCTION("""COMPUTED_VALUE"""),0.0354984976479933)</f>
        <v>0.03549849765</v>
      </c>
      <c r="N3" s="43">
        <f>IFERROR(__xludf.DUMMYFUNCTION("""COMPUTED_VALUE"""),445.098380735203)</f>
        <v>445.0983807</v>
      </c>
      <c r="O3" s="37">
        <f>IFERROR(__xludf.DUMMYFUNCTION("""COMPUTED_VALUE"""),144.845465723673)</f>
        <v>144.8454657</v>
      </c>
    </row>
    <row r="4">
      <c r="A4" s="38">
        <f>IFERROR(__xludf.DUMMYFUNCTION("""COMPUTED_VALUE"""),6.0)</f>
        <v>6</v>
      </c>
      <c r="B4" s="30">
        <f>IFERROR(__xludf.DUMMYFUNCTION("""COMPUTED_VALUE"""),0.112674829)</f>
        <v>0.112674829</v>
      </c>
      <c r="C4" s="30">
        <f>IFERROR(__xludf.DUMMYFUNCTION("""COMPUTED_VALUE"""),0.108404927)</f>
        <v>0.108404927</v>
      </c>
      <c r="D4" s="30">
        <f>IFERROR(__xludf.DUMMYFUNCTION("""COMPUTED_VALUE"""),0.118187534)</f>
        <v>0.118187534</v>
      </c>
      <c r="E4" s="30">
        <f>IFERROR(__xludf.DUMMYFUNCTION("""COMPUTED_VALUE"""),0.127892709)</f>
        <v>0.127892709</v>
      </c>
      <c r="F4" s="30">
        <f>IFERROR(__xludf.DUMMYFUNCTION("""COMPUTED_VALUE"""),0.212994313)</f>
        <v>0.212994313</v>
      </c>
      <c r="G4" s="30">
        <f>IFERROR(__xludf.DUMMYFUNCTION("""COMPUTED_VALUE"""),0.56202258)</f>
        <v>0.56202258</v>
      </c>
      <c r="H4" s="39">
        <f>IFERROR(__xludf.DUMMYFUNCTION("""COMPUTED_VALUE"""),600000.0)</f>
        <v>600000</v>
      </c>
      <c r="I4" s="30">
        <f>IFERROR(__xludf.DUMMYFUNCTION("""COMPUTED_VALUE"""),1000.00091665084)</f>
        <v>1000.000917</v>
      </c>
      <c r="J4" s="30">
        <f>IFERROR(__xludf.DUMMYFUNCTION("""COMPUTED_VALUE"""),999.821948073134)</f>
        <v>999.8219481</v>
      </c>
      <c r="K4" s="40">
        <f>IFERROR(__xludf.DUMMYFUNCTION("""COMPUTED_VALUE"""),1.0)</f>
        <v>1</v>
      </c>
      <c r="L4" s="41">
        <f>IFERROR(__xludf.DUMMYFUNCTION("""COMPUTED_VALUE"""),1.98E7)</f>
        <v>19800000</v>
      </c>
      <c r="M4" s="42">
        <f>IFERROR(__xludf.DUMMYFUNCTION("""COMPUTED_VALUE"""),0.0370026325852842)</f>
        <v>0.03700263259</v>
      </c>
      <c r="N4" s="43">
        <f>IFERROR(__xludf.DUMMYFUNCTION("""COMPUTED_VALUE"""),507.433959220606)</f>
        <v>507.4339592</v>
      </c>
      <c r="O4" s="37">
        <f>IFERROR(__xludf.DUMMYFUNCTION("""COMPUTED_VALUE"""),232.92969235834)</f>
        <v>232.9296924</v>
      </c>
    </row>
    <row r="5">
      <c r="A5" s="38">
        <f>IFERROR(__xludf.DUMMYFUNCTION("""COMPUTED_VALUE"""),8.0)</f>
        <v>8</v>
      </c>
      <c r="B5" s="30">
        <f>IFERROR(__xludf.DUMMYFUNCTION("""COMPUTED_VALUE"""),0.211555571)</f>
        <v>0.211555571</v>
      </c>
      <c r="C5" s="30">
        <f>IFERROR(__xludf.DUMMYFUNCTION("""COMPUTED_VALUE"""),0.111359169)</f>
        <v>0.111359169</v>
      </c>
      <c r="D5" s="30">
        <f>IFERROR(__xludf.DUMMYFUNCTION("""COMPUTED_VALUE"""),0.182734035)</f>
        <v>0.182734035</v>
      </c>
      <c r="E5" s="30">
        <f>IFERROR(__xludf.DUMMYFUNCTION("""COMPUTED_VALUE"""),0.567805831)</f>
        <v>0.567805831</v>
      </c>
      <c r="F5" s="30">
        <f>IFERROR(__xludf.DUMMYFUNCTION("""COMPUTED_VALUE"""),2.584162808)</f>
        <v>2.584162808</v>
      </c>
      <c r="G5" s="30">
        <f>IFERROR(__xludf.DUMMYFUNCTION("""COMPUTED_VALUE"""),13.390707582)</f>
        <v>13.39070758</v>
      </c>
      <c r="H5" s="39">
        <f>IFERROR(__xludf.DUMMYFUNCTION("""COMPUTED_VALUE"""),600000.0)</f>
        <v>600000</v>
      </c>
      <c r="I5" s="30">
        <f>IFERROR(__xludf.DUMMYFUNCTION("""COMPUTED_VALUE"""),1000.00161889428)</f>
        <v>1000.001619</v>
      </c>
      <c r="J5" s="30">
        <f>IFERROR(__xludf.DUMMYFUNCTION("""COMPUTED_VALUE"""),999.781865717339)</f>
        <v>999.7818657</v>
      </c>
      <c r="K5" s="40">
        <f>IFERROR(__xludf.DUMMYFUNCTION("""COMPUTED_VALUE"""),0.999978333333333)</f>
        <v>0.9999783333</v>
      </c>
      <c r="L5" s="41">
        <f>IFERROR(__xludf.DUMMYFUNCTION("""COMPUTED_VALUE"""),1.9799571E7)</f>
        <v>19799571</v>
      </c>
      <c r="M5" s="42">
        <f>IFERROR(__xludf.DUMMYFUNCTION("""COMPUTED_VALUE"""),0.0370718111161936)</f>
        <v>0.03707181112</v>
      </c>
      <c r="N5" s="43">
        <f>IFERROR(__xludf.DUMMYFUNCTION("""COMPUTED_VALUE"""),403.452087583541)</f>
        <v>403.4520876</v>
      </c>
      <c r="O5" s="37">
        <f>IFERROR(__xludf.DUMMYFUNCTION("""COMPUTED_VALUE"""),90.933531637494)</f>
        <v>90.93353164</v>
      </c>
    </row>
    <row r="6">
      <c r="A6" s="38">
        <f>IFERROR(__xludf.DUMMYFUNCTION("""COMPUTED_VALUE"""),10.0)</f>
        <v>10</v>
      </c>
      <c r="B6" s="30">
        <f>IFERROR(__xludf.DUMMYFUNCTION("""COMPUTED_VALUE"""),0.113992954)</f>
        <v>0.113992954</v>
      </c>
      <c r="C6" s="30">
        <f>IFERROR(__xludf.DUMMYFUNCTION("""COMPUTED_VALUE"""),0.109370352)</f>
        <v>0.109370352</v>
      </c>
      <c r="D6" s="30">
        <f>IFERROR(__xludf.DUMMYFUNCTION("""COMPUTED_VALUE"""),0.121481125)</f>
        <v>0.121481125</v>
      </c>
      <c r="E6" s="30">
        <f>IFERROR(__xludf.DUMMYFUNCTION("""COMPUTED_VALUE"""),0.131035647)</f>
        <v>0.131035647</v>
      </c>
      <c r="F6" s="30">
        <f>IFERROR(__xludf.DUMMYFUNCTION("""COMPUTED_VALUE"""),0.186572009)</f>
        <v>0.186572009</v>
      </c>
      <c r="G6" s="30">
        <f>IFERROR(__xludf.DUMMYFUNCTION("""COMPUTED_VALUE"""),1.670313411)</f>
        <v>1.670313411</v>
      </c>
      <c r="H6" s="39">
        <f>IFERROR(__xludf.DUMMYFUNCTION("""COMPUTED_VALUE"""),600000.0)</f>
        <v>600000</v>
      </c>
      <c r="I6" s="30">
        <f>IFERROR(__xludf.DUMMYFUNCTION("""COMPUTED_VALUE"""),1000.0016750478)</f>
        <v>1000.001675</v>
      </c>
      <c r="J6" s="30">
        <f>IFERROR(__xludf.DUMMYFUNCTION("""COMPUTED_VALUE"""),999.825100160305)</f>
        <v>999.8251002</v>
      </c>
      <c r="K6" s="40">
        <f>IFERROR(__xludf.DUMMYFUNCTION("""COMPUTED_VALUE"""),1.0)</f>
        <v>1</v>
      </c>
      <c r="L6" s="41">
        <f>IFERROR(__xludf.DUMMYFUNCTION("""COMPUTED_VALUE"""),1.98E7)</f>
        <v>19800000</v>
      </c>
      <c r="M6" s="42">
        <f>IFERROR(__xludf.DUMMYFUNCTION("""COMPUTED_VALUE"""),0.0383764570685618)</f>
        <v>0.03837645707</v>
      </c>
      <c r="N6" s="43">
        <f>IFERROR(__xludf.DUMMYFUNCTION("""COMPUTED_VALUE"""),246.507576945628)</f>
        <v>246.5075769</v>
      </c>
      <c r="O6" s="37">
        <f>IFERROR(__xludf.DUMMYFUNCTION("""COMPUTED_VALUE"""),55.8158362828768)</f>
        <v>55.81583628</v>
      </c>
    </row>
    <row r="7">
      <c r="A7" s="38">
        <f>IFERROR(__xludf.DUMMYFUNCTION("""COMPUTED_VALUE"""),12.0)</f>
        <v>12</v>
      </c>
      <c r="B7" s="30">
        <f>IFERROR(__xludf.DUMMYFUNCTION("""COMPUTED_VALUE"""),0.111145463)</f>
        <v>0.111145463</v>
      </c>
      <c r="C7" s="30">
        <f>IFERROR(__xludf.DUMMYFUNCTION("""COMPUTED_VALUE"""),0.108827734)</f>
        <v>0.108827734</v>
      </c>
      <c r="D7" s="30">
        <f>IFERROR(__xludf.DUMMYFUNCTION("""COMPUTED_VALUE"""),0.118019745)</f>
        <v>0.118019745</v>
      </c>
      <c r="E7" s="30">
        <f>IFERROR(__xludf.DUMMYFUNCTION("""COMPUTED_VALUE"""),0.123314002)</f>
        <v>0.123314002</v>
      </c>
      <c r="F7" s="30">
        <f>IFERROR(__xludf.DUMMYFUNCTION("""COMPUTED_VALUE"""),0.145225021)</f>
        <v>0.145225021</v>
      </c>
      <c r="G7" s="30">
        <f>IFERROR(__xludf.DUMMYFUNCTION("""COMPUTED_VALUE"""),0.366781289)</f>
        <v>0.366781289</v>
      </c>
      <c r="H7" s="39">
        <f>IFERROR(__xludf.DUMMYFUNCTION("""COMPUTED_VALUE"""),600000.0)</f>
        <v>600000</v>
      </c>
      <c r="I7" s="30">
        <f>IFERROR(__xludf.DUMMYFUNCTION("""COMPUTED_VALUE"""),1000.00122838817)</f>
        <v>1000.001228</v>
      </c>
      <c r="J7" s="30">
        <f>IFERROR(__xludf.DUMMYFUNCTION("""COMPUTED_VALUE"""),999.819681497293)</f>
        <v>999.8196815</v>
      </c>
      <c r="K7" s="40">
        <f>IFERROR(__xludf.DUMMYFUNCTION("""COMPUTED_VALUE"""),1.0)</f>
        <v>1</v>
      </c>
      <c r="L7" s="41">
        <f>IFERROR(__xludf.DUMMYFUNCTION("""COMPUTED_VALUE"""),1.98E7)</f>
        <v>19800000</v>
      </c>
      <c r="M7" s="42">
        <f>IFERROR(__xludf.DUMMYFUNCTION("""COMPUTED_VALUE"""),0.0390230563076923)</f>
        <v>0.03902305631</v>
      </c>
      <c r="N7" s="43">
        <f>IFERROR(__xludf.DUMMYFUNCTION("""COMPUTED_VALUE"""),240.041218235417)</f>
        <v>240.0412182</v>
      </c>
      <c r="O7" s="37">
        <f>IFERROR(__xludf.DUMMYFUNCTION("""COMPUTED_VALUE"""),55.5286426094921)</f>
        <v>55.52864261</v>
      </c>
    </row>
    <row r="8">
      <c r="A8" s="38">
        <f>IFERROR(__xludf.DUMMYFUNCTION("""COMPUTED_VALUE"""),14.0)</f>
        <v>14</v>
      </c>
      <c r="B8" s="30">
        <f>IFERROR(__xludf.DUMMYFUNCTION("""COMPUTED_VALUE"""),0.114077662)</f>
        <v>0.114077662</v>
      </c>
      <c r="C8" s="30">
        <f>IFERROR(__xludf.DUMMYFUNCTION("""COMPUTED_VALUE"""),0.109529698)</f>
        <v>0.109529698</v>
      </c>
      <c r="D8" s="30">
        <f>IFERROR(__xludf.DUMMYFUNCTION("""COMPUTED_VALUE"""),0.124000801)</f>
        <v>0.124000801</v>
      </c>
      <c r="E8" s="30">
        <f>IFERROR(__xludf.DUMMYFUNCTION("""COMPUTED_VALUE"""),0.136819047)</f>
        <v>0.136819047</v>
      </c>
      <c r="F8" s="30">
        <f>IFERROR(__xludf.DUMMYFUNCTION("""COMPUTED_VALUE"""),0.1936668)</f>
        <v>0.1936668</v>
      </c>
      <c r="G8" s="30">
        <f>IFERROR(__xludf.DUMMYFUNCTION("""COMPUTED_VALUE"""),0.380963344)</f>
        <v>0.380963344</v>
      </c>
      <c r="H8" s="39">
        <f>IFERROR(__xludf.DUMMYFUNCTION("""COMPUTED_VALUE"""),600000.0)</f>
        <v>600000</v>
      </c>
      <c r="I8" s="30">
        <f>IFERROR(__xludf.DUMMYFUNCTION("""COMPUTED_VALUE"""),1000.00161833261)</f>
        <v>1000.001618</v>
      </c>
      <c r="J8" s="30">
        <f>IFERROR(__xludf.DUMMYFUNCTION("""COMPUTED_VALUE"""),999.7702648487)</f>
        <v>999.7702648</v>
      </c>
      <c r="K8" s="40">
        <f>IFERROR(__xludf.DUMMYFUNCTION("""COMPUTED_VALUE"""),1.0)</f>
        <v>1</v>
      </c>
      <c r="L8" s="41">
        <f>IFERROR(__xludf.DUMMYFUNCTION("""COMPUTED_VALUE"""),1.98E7)</f>
        <v>19800000</v>
      </c>
      <c r="M8" s="42">
        <f>IFERROR(__xludf.DUMMYFUNCTION("""COMPUTED_VALUE"""),0.0372861087274247)</f>
        <v>0.03728610873</v>
      </c>
      <c r="N8" s="43">
        <f>IFERROR(__xludf.DUMMYFUNCTION("""COMPUTED_VALUE"""),276.951887509659)</f>
        <v>276.9518875</v>
      </c>
      <c r="O8" s="37">
        <f>IFERROR(__xludf.DUMMYFUNCTION("""COMPUTED_VALUE"""),73.0031150464909)</f>
        <v>73.00311505</v>
      </c>
    </row>
    <row r="9">
      <c r="A9" s="38">
        <f>IFERROR(__xludf.DUMMYFUNCTION("""COMPUTED_VALUE"""),16.0)</f>
        <v>16</v>
      </c>
      <c r="B9" s="30">
        <f>IFERROR(__xludf.DUMMYFUNCTION("""COMPUTED_VALUE"""),0.146434523)</f>
        <v>0.146434523</v>
      </c>
      <c r="C9" s="30">
        <f>IFERROR(__xludf.DUMMYFUNCTION("""COMPUTED_VALUE"""),0.112616244)</f>
        <v>0.112616244</v>
      </c>
      <c r="D9" s="30">
        <f>IFERROR(__xludf.DUMMYFUNCTION("""COMPUTED_VALUE"""),0.162560137)</f>
        <v>0.162560137</v>
      </c>
      <c r="E9" s="30">
        <f>IFERROR(__xludf.DUMMYFUNCTION("""COMPUTED_VALUE"""),0.225949108)</f>
        <v>0.225949108</v>
      </c>
      <c r="F9" s="30">
        <f>IFERROR(__xludf.DUMMYFUNCTION("""COMPUTED_VALUE"""),1.02003324)</f>
        <v>1.02003324</v>
      </c>
      <c r="G9" s="30">
        <f>IFERROR(__xludf.DUMMYFUNCTION("""COMPUTED_VALUE"""),8.610516367)</f>
        <v>8.610516367</v>
      </c>
      <c r="H9" s="39">
        <f>IFERROR(__xludf.DUMMYFUNCTION("""COMPUTED_VALUE"""),600000.0)</f>
        <v>600000</v>
      </c>
      <c r="I9" s="30">
        <f>IFERROR(__xludf.DUMMYFUNCTION("""COMPUTED_VALUE"""),1000.00022426671)</f>
        <v>1000.000224</v>
      </c>
      <c r="J9" s="30">
        <f>IFERROR(__xludf.DUMMYFUNCTION("""COMPUTED_VALUE"""),999.820775465525)</f>
        <v>999.8207755</v>
      </c>
      <c r="K9" s="40">
        <f>IFERROR(__xludf.DUMMYFUNCTION("""COMPUTED_VALUE"""),1.0)</f>
        <v>1</v>
      </c>
      <c r="L9" s="41">
        <f>IFERROR(__xludf.DUMMYFUNCTION("""COMPUTED_VALUE"""),1.98E7)</f>
        <v>19800000</v>
      </c>
      <c r="M9" s="42">
        <f>IFERROR(__xludf.DUMMYFUNCTION("""COMPUTED_VALUE"""),0.0360044827513377)</f>
        <v>0.03600448275</v>
      </c>
      <c r="N9" s="43">
        <f>IFERROR(__xludf.DUMMYFUNCTION("""COMPUTED_VALUE"""),449.017108288352)</f>
        <v>449.0171083</v>
      </c>
      <c r="O9" s="37">
        <f>IFERROR(__xludf.DUMMYFUNCTION("""COMPUTED_VALUE"""),130.879385371666)</f>
        <v>130.8793854</v>
      </c>
    </row>
    <row r="10">
      <c r="A10" s="38">
        <f>IFERROR(__xludf.DUMMYFUNCTION("""COMPUTED_VALUE"""),20.0)</f>
        <v>20</v>
      </c>
      <c r="B10" s="30">
        <f>IFERROR(__xludf.DUMMYFUNCTION("""COMPUTED_VALUE"""),0.123546462)</f>
        <v>0.123546462</v>
      </c>
      <c r="C10" s="30">
        <f>IFERROR(__xludf.DUMMYFUNCTION("""COMPUTED_VALUE"""),0.109383325)</f>
        <v>0.109383325</v>
      </c>
      <c r="D10" s="30">
        <f>IFERROR(__xludf.DUMMYFUNCTION("""COMPUTED_VALUE"""),0.12401202)</f>
        <v>0.12401202</v>
      </c>
      <c r="E10" s="30">
        <f>IFERROR(__xludf.DUMMYFUNCTION("""COMPUTED_VALUE"""),0.146789394)</f>
        <v>0.146789394</v>
      </c>
      <c r="F10" s="30">
        <f>IFERROR(__xludf.DUMMYFUNCTION("""COMPUTED_VALUE"""),0.514642901)</f>
        <v>0.514642901</v>
      </c>
      <c r="G10" s="30">
        <f>IFERROR(__xludf.DUMMYFUNCTION("""COMPUTED_VALUE"""),4.828199395)</f>
        <v>4.828199395</v>
      </c>
      <c r="H10" s="39">
        <f>IFERROR(__xludf.DUMMYFUNCTION("""COMPUTED_VALUE"""),600000.0)</f>
        <v>600000</v>
      </c>
      <c r="I10" s="30">
        <f>IFERROR(__xludf.DUMMYFUNCTION("""COMPUTED_VALUE"""),1000.00179089154)</f>
        <v>1000.001791</v>
      </c>
      <c r="J10" s="30">
        <f>IFERROR(__xludf.DUMMYFUNCTION("""COMPUTED_VALUE"""),994.510428772465)</f>
        <v>994.5104288</v>
      </c>
      <c r="K10" s="40">
        <f>IFERROR(__xludf.DUMMYFUNCTION("""COMPUTED_VALUE"""),1.0)</f>
        <v>1</v>
      </c>
      <c r="L10" s="41">
        <f>IFERROR(__xludf.DUMMYFUNCTION("""COMPUTED_VALUE"""),1.98E7)</f>
        <v>19800000</v>
      </c>
      <c r="M10" s="42">
        <f>IFERROR(__xludf.DUMMYFUNCTION("""COMPUTED_VALUE"""),0.0374078567101329)</f>
        <v>0.03740785671</v>
      </c>
      <c r="N10" s="43">
        <f>IFERROR(__xludf.DUMMYFUNCTION("""COMPUTED_VALUE"""),290.629600491689)</f>
        <v>290.6296005</v>
      </c>
      <c r="O10" s="37">
        <f>IFERROR(__xludf.DUMMYFUNCTION("""COMPUTED_VALUE"""),87.3565588786189)</f>
        <v>87.35655888</v>
      </c>
    </row>
    <row r="11">
      <c r="A11" s="38">
        <f>IFERROR(__xludf.DUMMYFUNCTION("""COMPUTED_VALUE"""),22.0)</f>
        <v>22</v>
      </c>
      <c r="B11" s="30">
        <f>IFERROR(__xludf.DUMMYFUNCTION("""COMPUTED_VALUE"""),0.112073597)</f>
        <v>0.112073597</v>
      </c>
      <c r="C11" s="30">
        <f>IFERROR(__xludf.DUMMYFUNCTION("""COMPUTED_VALUE"""),0.108981025)</f>
        <v>0.108981025</v>
      </c>
      <c r="D11" s="30">
        <f>IFERROR(__xludf.DUMMYFUNCTION("""COMPUTED_VALUE"""),0.11922203)</f>
        <v>0.11922203</v>
      </c>
      <c r="E11" s="30">
        <f>IFERROR(__xludf.DUMMYFUNCTION("""COMPUTED_VALUE"""),0.126971818)</f>
        <v>0.126971818</v>
      </c>
      <c r="F11" s="30">
        <f>IFERROR(__xludf.DUMMYFUNCTION("""COMPUTED_VALUE"""),0.165841593)</f>
        <v>0.165841593</v>
      </c>
      <c r="G11" s="30">
        <f>IFERROR(__xludf.DUMMYFUNCTION("""COMPUTED_VALUE"""),0.443381598)</f>
        <v>0.443381598</v>
      </c>
      <c r="H11" s="39">
        <f>IFERROR(__xludf.DUMMYFUNCTION("""COMPUTED_VALUE"""),600000.0)</f>
        <v>600000</v>
      </c>
      <c r="I11" s="30">
        <f>IFERROR(__xludf.DUMMYFUNCTION("""COMPUTED_VALUE"""),1000.00112322126)</f>
        <v>1000.001123</v>
      </c>
      <c r="J11" s="30">
        <f>IFERROR(__xludf.DUMMYFUNCTION("""COMPUTED_VALUE"""),999.822167428381)</f>
        <v>999.8221674</v>
      </c>
      <c r="K11" s="40">
        <f>IFERROR(__xludf.DUMMYFUNCTION("""COMPUTED_VALUE"""),1.0)</f>
        <v>1</v>
      </c>
      <c r="L11" s="41">
        <f>IFERROR(__xludf.DUMMYFUNCTION("""COMPUTED_VALUE"""),1.98E7)</f>
        <v>19800000</v>
      </c>
      <c r="M11" s="42">
        <f>IFERROR(__xludf.DUMMYFUNCTION("""COMPUTED_VALUE"""),0.0381777453695652)</f>
        <v>0.03817774537</v>
      </c>
      <c r="N11" s="43">
        <f>IFERROR(__xludf.DUMMYFUNCTION("""COMPUTED_VALUE"""),254.800371440702)</f>
        <v>254.8003714</v>
      </c>
      <c r="O11" s="37">
        <f>IFERROR(__xludf.DUMMYFUNCTION("""COMPUTED_VALUE"""),61.275060515164)</f>
        <v>61.27506052</v>
      </c>
    </row>
    <row r="12">
      <c r="A12" s="38">
        <f>IFERROR(__xludf.DUMMYFUNCTION("""COMPUTED_VALUE"""),30.0)</f>
        <v>30</v>
      </c>
      <c r="B12" s="30">
        <f>IFERROR(__xludf.DUMMYFUNCTION("""COMPUTED_VALUE"""),0.111236712)</f>
        <v>0.111236712</v>
      </c>
      <c r="C12" s="30">
        <f>IFERROR(__xludf.DUMMYFUNCTION("""COMPUTED_VALUE"""),0.108700888)</f>
        <v>0.108700888</v>
      </c>
      <c r="D12" s="30">
        <f>IFERROR(__xludf.DUMMYFUNCTION("""COMPUTED_VALUE"""),0.119127164)</f>
        <v>0.119127164</v>
      </c>
      <c r="E12" s="30">
        <f>IFERROR(__xludf.DUMMYFUNCTION("""COMPUTED_VALUE"""),0.125447282)</f>
        <v>0.125447282</v>
      </c>
      <c r="F12" s="30">
        <f>IFERROR(__xludf.DUMMYFUNCTION("""COMPUTED_VALUE"""),0.146265758)</f>
        <v>0.146265758</v>
      </c>
      <c r="G12" s="30">
        <f>IFERROR(__xludf.DUMMYFUNCTION("""COMPUTED_VALUE"""),0.299041131)</f>
        <v>0.299041131</v>
      </c>
      <c r="H12" s="39">
        <f>IFERROR(__xludf.DUMMYFUNCTION("""COMPUTED_VALUE"""),600000.0)</f>
        <v>600000</v>
      </c>
      <c r="I12" s="30">
        <f>IFERROR(__xludf.DUMMYFUNCTION("""COMPUTED_VALUE"""),1000.00098736264)</f>
        <v>1000.000987</v>
      </c>
      <c r="J12" s="30">
        <f>IFERROR(__xludf.DUMMYFUNCTION("""COMPUTED_VALUE"""),999.823392214152)</f>
        <v>999.8233922</v>
      </c>
      <c r="K12" s="40">
        <f>IFERROR(__xludf.DUMMYFUNCTION("""COMPUTED_VALUE"""),1.0)</f>
        <v>1</v>
      </c>
      <c r="L12" s="41">
        <f>IFERROR(__xludf.DUMMYFUNCTION("""COMPUTED_VALUE"""),1.98E7)</f>
        <v>19800000</v>
      </c>
      <c r="M12" s="42">
        <f>IFERROR(__xludf.DUMMYFUNCTION("""COMPUTED_VALUE"""),0.038623443673913)</f>
        <v>0.03862344367</v>
      </c>
      <c r="N12" s="43">
        <f>IFERROR(__xludf.DUMMYFUNCTION("""COMPUTED_VALUE"""),234.694717956504)</f>
        <v>234.694718</v>
      </c>
      <c r="O12" s="37">
        <f>IFERROR(__xludf.DUMMYFUNCTION("""COMPUTED_VALUE"""),49.3406224348908)</f>
        <v>49.34062243</v>
      </c>
    </row>
    <row r="13">
      <c r="A13" s="38">
        <f>IFERROR(__xludf.DUMMYFUNCTION("""COMPUTED_VALUE"""),32.0)</f>
        <v>32</v>
      </c>
      <c r="B13" s="30">
        <f>IFERROR(__xludf.DUMMYFUNCTION("""COMPUTED_VALUE"""),0.114524893)</f>
        <v>0.114524893</v>
      </c>
      <c r="C13" s="30">
        <f>IFERROR(__xludf.DUMMYFUNCTION("""COMPUTED_VALUE"""),0.109972468)</f>
        <v>0.109972468</v>
      </c>
      <c r="D13" s="30">
        <f>IFERROR(__xludf.DUMMYFUNCTION("""COMPUTED_VALUE"""),0.126907513)</f>
        <v>0.126907513</v>
      </c>
      <c r="E13" s="30">
        <f>IFERROR(__xludf.DUMMYFUNCTION("""COMPUTED_VALUE"""),0.138853721)</f>
        <v>0.138853721</v>
      </c>
      <c r="F13" s="30">
        <f>IFERROR(__xludf.DUMMYFUNCTION("""COMPUTED_VALUE"""),0.17944721)</f>
        <v>0.17944721</v>
      </c>
      <c r="G13" s="30">
        <f>IFERROR(__xludf.DUMMYFUNCTION("""COMPUTED_VALUE"""),0.781143276)</f>
        <v>0.781143276</v>
      </c>
      <c r="H13" s="39">
        <f>IFERROR(__xludf.DUMMYFUNCTION("""COMPUTED_VALUE"""),600000.0)</f>
        <v>600000</v>
      </c>
      <c r="I13" s="30">
        <f>IFERROR(__xludf.DUMMYFUNCTION("""COMPUTED_VALUE"""),1000.00040113349)</f>
        <v>1000.000401</v>
      </c>
      <c r="J13" s="30">
        <f>IFERROR(__xludf.DUMMYFUNCTION("""COMPUTED_VALUE"""),999.823074564815)</f>
        <v>999.8230746</v>
      </c>
      <c r="K13" s="40">
        <f>IFERROR(__xludf.DUMMYFUNCTION("""COMPUTED_VALUE"""),1.0)</f>
        <v>1</v>
      </c>
      <c r="L13" s="41">
        <f>IFERROR(__xludf.DUMMYFUNCTION("""COMPUTED_VALUE"""),1.98E7)</f>
        <v>19800000</v>
      </c>
      <c r="M13" s="42">
        <f>IFERROR(__xludf.DUMMYFUNCTION("""COMPUTED_VALUE"""),0.0379841860802676)</f>
        <v>0.03798418608</v>
      </c>
      <c r="N13" s="43">
        <f>IFERROR(__xludf.DUMMYFUNCTION("""COMPUTED_VALUE"""),235.175575902744)</f>
        <v>235.1755759</v>
      </c>
      <c r="O13" s="37">
        <f>IFERROR(__xludf.DUMMYFUNCTION("""COMPUTED_VALUE"""),49.2468930251306)</f>
        <v>49.24689303</v>
      </c>
    </row>
    <row r="14">
      <c r="A14" s="38">
        <f>IFERROR(__xludf.DUMMYFUNCTION("""COMPUTED_VALUE"""),34.0)</f>
        <v>34</v>
      </c>
      <c r="B14" s="30">
        <f>IFERROR(__xludf.DUMMYFUNCTION("""COMPUTED_VALUE"""),0.111493342)</f>
        <v>0.111493342</v>
      </c>
      <c r="C14" s="30">
        <f>IFERROR(__xludf.DUMMYFUNCTION("""COMPUTED_VALUE"""),0.108965187)</f>
        <v>0.108965187</v>
      </c>
      <c r="D14" s="30">
        <f>IFERROR(__xludf.DUMMYFUNCTION("""COMPUTED_VALUE"""),0.11877828)</f>
        <v>0.11877828</v>
      </c>
      <c r="E14" s="30">
        <f>IFERROR(__xludf.DUMMYFUNCTION("""COMPUTED_VALUE"""),0.12585047)</f>
        <v>0.12585047</v>
      </c>
      <c r="F14" s="30">
        <f>IFERROR(__xludf.DUMMYFUNCTION("""COMPUTED_VALUE"""),0.150117235)</f>
        <v>0.150117235</v>
      </c>
      <c r="G14" s="30">
        <f>IFERROR(__xludf.DUMMYFUNCTION("""COMPUTED_VALUE"""),0.362771636)</f>
        <v>0.362771636</v>
      </c>
      <c r="H14" s="39">
        <f>IFERROR(__xludf.DUMMYFUNCTION("""COMPUTED_VALUE"""),600000.0)</f>
        <v>600000</v>
      </c>
      <c r="I14" s="30">
        <f>IFERROR(__xludf.DUMMYFUNCTION("""COMPUTED_VALUE"""),1000.00180278491)</f>
        <v>1000.001803</v>
      </c>
      <c r="J14" s="30">
        <f>IFERROR(__xludf.DUMMYFUNCTION("""COMPUTED_VALUE"""),999.822860545612)</f>
        <v>999.8228605</v>
      </c>
      <c r="K14" s="40">
        <f>IFERROR(__xludf.DUMMYFUNCTION("""COMPUTED_VALUE"""),1.0)</f>
        <v>1</v>
      </c>
      <c r="L14" s="41">
        <f>IFERROR(__xludf.DUMMYFUNCTION("""COMPUTED_VALUE"""),1.98E7)</f>
        <v>19800000</v>
      </c>
      <c r="M14" s="42">
        <f>IFERROR(__xludf.DUMMYFUNCTION("""COMPUTED_VALUE"""),0.0363090571956521)</f>
        <v>0.0363090572</v>
      </c>
      <c r="N14" s="43">
        <f>IFERROR(__xludf.DUMMYFUNCTION("""COMPUTED_VALUE"""),299.132266450604)</f>
        <v>299.1322665</v>
      </c>
      <c r="O14" s="37">
        <f>IFERROR(__xludf.DUMMYFUNCTION("""COMPUTED_VALUE"""),75.890818847469)</f>
        <v>75.89081885</v>
      </c>
    </row>
    <row r="15">
      <c r="A15" s="38">
        <f>IFERROR(__xludf.DUMMYFUNCTION("""COMPUTED_VALUE"""),36.0)</f>
        <v>36</v>
      </c>
      <c r="B15" s="30">
        <f>IFERROR(__xludf.DUMMYFUNCTION("""COMPUTED_VALUE"""),0.114477893)</f>
        <v>0.114477893</v>
      </c>
      <c r="C15" s="30">
        <f>IFERROR(__xludf.DUMMYFUNCTION("""COMPUTED_VALUE"""),0.108915376)</f>
        <v>0.108915376</v>
      </c>
      <c r="D15" s="30">
        <f>IFERROR(__xludf.DUMMYFUNCTION("""COMPUTED_VALUE"""),0.124911276)</f>
        <v>0.124911276</v>
      </c>
      <c r="E15" s="30">
        <f>IFERROR(__xludf.DUMMYFUNCTION("""COMPUTED_VALUE"""),0.138611221)</f>
        <v>0.138611221</v>
      </c>
      <c r="F15" s="30">
        <f>IFERROR(__xludf.DUMMYFUNCTION("""COMPUTED_VALUE"""),0.209316707)</f>
        <v>0.209316707</v>
      </c>
      <c r="G15" s="30">
        <f>IFERROR(__xludf.DUMMYFUNCTION("""COMPUTED_VALUE"""),1.058011328)</f>
        <v>1.058011328</v>
      </c>
      <c r="H15" s="39">
        <f>IFERROR(__xludf.DUMMYFUNCTION("""COMPUTED_VALUE"""),600000.0)</f>
        <v>600000</v>
      </c>
      <c r="I15" s="30">
        <f>IFERROR(__xludf.DUMMYFUNCTION("""COMPUTED_VALUE"""),1000.00171597794)</f>
        <v>1000.001716</v>
      </c>
      <c r="J15" s="30">
        <f>IFERROR(__xludf.DUMMYFUNCTION("""COMPUTED_VALUE"""),999.741743362053)</f>
        <v>999.7417434</v>
      </c>
      <c r="K15" s="40">
        <f>IFERROR(__xludf.DUMMYFUNCTION("""COMPUTED_VALUE"""),1.0)</f>
        <v>1</v>
      </c>
      <c r="L15" s="41">
        <f>IFERROR(__xludf.DUMMYFUNCTION("""COMPUTED_VALUE"""),1.98E7)</f>
        <v>19800000</v>
      </c>
      <c r="M15" s="42">
        <f>IFERROR(__xludf.DUMMYFUNCTION("""COMPUTED_VALUE"""),0.0371225797416388)</f>
        <v>0.03712257974</v>
      </c>
      <c r="N15" s="43">
        <f>IFERROR(__xludf.DUMMYFUNCTION("""COMPUTED_VALUE"""),293.124482142109)</f>
        <v>293.1244821</v>
      </c>
      <c r="O15" s="37">
        <f>IFERROR(__xludf.DUMMYFUNCTION("""COMPUTED_VALUE"""),82.3301272374142)</f>
        <v>82.33012724</v>
      </c>
    </row>
    <row r="16">
      <c r="A16" s="38">
        <f>IFERROR(__xludf.DUMMYFUNCTION("""COMPUTED_VALUE"""),38.0)</f>
        <v>38</v>
      </c>
      <c r="B16" s="30">
        <f>IFERROR(__xludf.DUMMYFUNCTION("""COMPUTED_VALUE"""),0.136752696)</f>
        <v>0.136752696</v>
      </c>
      <c r="C16" s="30">
        <f>IFERROR(__xludf.DUMMYFUNCTION("""COMPUTED_VALUE"""),0.108709343)</f>
        <v>0.108709343</v>
      </c>
      <c r="D16" s="30">
        <f>IFERROR(__xludf.DUMMYFUNCTION("""COMPUTED_VALUE"""),0.132643832)</f>
        <v>0.132643832</v>
      </c>
      <c r="E16" s="30">
        <f>IFERROR(__xludf.DUMMYFUNCTION("""COMPUTED_VALUE"""),0.194612605)</f>
        <v>0.194612605</v>
      </c>
      <c r="F16" s="30">
        <f>IFERROR(__xludf.DUMMYFUNCTION("""COMPUTED_VALUE"""),0.923557216)</f>
        <v>0.923557216</v>
      </c>
      <c r="G16" s="30">
        <f>IFERROR(__xludf.DUMMYFUNCTION("""COMPUTED_VALUE"""),5.290283853)</f>
        <v>5.290283853</v>
      </c>
      <c r="H16" s="39">
        <f>IFERROR(__xludf.DUMMYFUNCTION("""COMPUTED_VALUE"""),600000.0)</f>
        <v>600000</v>
      </c>
      <c r="I16" s="30">
        <f>IFERROR(__xludf.DUMMYFUNCTION("""COMPUTED_VALUE"""),1000.00007364722)</f>
        <v>1000.000074</v>
      </c>
      <c r="J16" s="30">
        <f>IFERROR(__xludf.DUMMYFUNCTION("""COMPUTED_VALUE"""),999.8134123881)</f>
        <v>999.8134124</v>
      </c>
      <c r="K16" s="40">
        <f>IFERROR(__xludf.DUMMYFUNCTION("""COMPUTED_VALUE"""),1.0)</f>
        <v>1</v>
      </c>
      <c r="L16" s="41">
        <f>IFERROR(__xludf.DUMMYFUNCTION("""COMPUTED_VALUE"""),1.98E7)</f>
        <v>19800000</v>
      </c>
      <c r="M16" s="42">
        <f>IFERROR(__xludf.DUMMYFUNCTION("""COMPUTED_VALUE"""),0.0373702564861203)</f>
        <v>0.03737025649</v>
      </c>
      <c r="N16" s="43">
        <f>IFERROR(__xludf.DUMMYFUNCTION("""COMPUTED_VALUE"""),436.961509822406)</f>
        <v>436.9615098</v>
      </c>
      <c r="O16" s="37">
        <f>IFERROR(__xludf.DUMMYFUNCTION("""COMPUTED_VALUE"""),150.853461181416)</f>
        <v>150.8534612</v>
      </c>
    </row>
    <row r="17">
      <c r="A17" s="38">
        <f>IFERROR(__xludf.DUMMYFUNCTION("""COMPUTED_VALUE"""),42.0)</f>
        <v>42</v>
      </c>
      <c r="B17" s="30">
        <f>IFERROR(__xludf.DUMMYFUNCTION("""COMPUTED_VALUE"""),0.114506952)</f>
        <v>0.114506952</v>
      </c>
      <c r="C17" s="30">
        <f>IFERROR(__xludf.DUMMYFUNCTION("""COMPUTED_VALUE"""),0.108732889)</f>
        <v>0.108732889</v>
      </c>
      <c r="D17" s="30">
        <f>IFERROR(__xludf.DUMMYFUNCTION("""COMPUTED_VALUE"""),0.120808525)</f>
        <v>0.120808525</v>
      </c>
      <c r="E17" s="30">
        <f>IFERROR(__xludf.DUMMYFUNCTION("""COMPUTED_VALUE"""),0.131787415)</f>
        <v>0.131787415</v>
      </c>
      <c r="F17" s="30">
        <f>IFERROR(__xludf.DUMMYFUNCTION("""COMPUTED_VALUE"""),0.245612524)</f>
        <v>0.245612524</v>
      </c>
      <c r="G17" s="30">
        <f>IFERROR(__xludf.DUMMYFUNCTION("""COMPUTED_VALUE"""),1.232186744)</f>
        <v>1.232186744</v>
      </c>
      <c r="H17" s="39">
        <f>IFERROR(__xludf.DUMMYFUNCTION("""COMPUTED_VALUE"""),599999.0)</f>
        <v>599999</v>
      </c>
      <c r="I17" s="30">
        <f>IFERROR(__xludf.DUMMYFUNCTION("""COMPUTED_VALUE"""),999.999952176589)</f>
        <v>999.9999522</v>
      </c>
      <c r="J17" s="30">
        <f>IFERROR(__xludf.DUMMYFUNCTION("""COMPUTED_VALUE"""),999.822599049293)</f>
        <v>999.822599</v>
      </c>
      <c r="K17" s="40">
        <f>IFERROR(__xludf.DUMMYFUNCTION("""COMPUTED_VALUE"""),1.0)</f>
        <v>1</v>
      </c>
      <c r="L17" s="41">
        <f>IFERROR(__xludf.DUMMYFUNCTION("""COMPUTED_VALUE"""),1.9799967E7)</f>
        <v>19799967</v>
      </c>
      <c r="M17" s="42">
        <f>IFERROR(__xludf.DUMMYFUNCTION("""COMPUTED_VALUE"""),0.0370017680903009)</f>
        <v>0.03700176809</v>
      </c>
      <c r="N17" s="43">
        <f>IFERROR(__xludf.DUMMYFUNCTION("""COMPUTED_VALUE"""),399.068326189044)</f>
        <v>399.0683262</v>
      </c>
      <c r="O17" s="37">
        <f>IFERROR(__xludf.DUMMYFUNCTION("""COMPUTED_VALUE"""),98.1574241293352)</f>
        <v>98.15742413</v>
      </c>
    </row>
    <row r="18">
      <c r="A18" s="38">
        <f>IFERROR(__xludf.DUMMYFUNCTION("""COMPUTED_VALUE"""),44.0)</f>
        <v>44</v>
      </c>
      <c r="B18" s="30">
        <f>IFERROR(__xludf.DUMMYFUNCTION("""COMPUTED_VALUE"""),0.160570866)</f>
        <v>0.160570866</v>
      </c>
      <c r="C18" s="30">
        <f>IFERROR(__xludf.DUMMYFUNCTION("""COMPUTED_VALUE"""),0.109832302)</f>
        <v>0.109832302</v>
      </c>
      <c r="D18" s="30">
        <f>IFERROR(__xludf.DUMMYFUNCTION("""COMPUTED_VALUE"""),0.145246118)</f>
        <v>0.145246118</v>
      </c>
      <c r="E18" s="30">
        <f>IFERROR(__xludf.DUMMYFUNCTION("""COMPUTED_VALUE"""),0.212139713)</f>
        <v>0.212139713</v>
      </c>
      <c r="F18" s="30">
        <f>IFERROR(__xludf.DUMMYFUNCTION("""COMPUTED_VALUE"""),1.682631179)</f>
        <v>1.682631179</v>
      </c>
      <c r="G18" s="30">
        <f>IFERROR(__xludf.DUMMYFUNCTION("""COMPUTED_VALUE"""),13.729631515)</f>
        <v>13.72963152</v>
      </c>
      <c r="H18" s="39">
        <f>IFERROR(__xludf.DUMMYFUNCTION("""COMPUTED_VALUE"""),600000.0)</f>
        <v>600000</v>
      </c>
      <c r="I18" s="30">
        <f>IFERROR(__xludf.DUMMYFUNCTION("""COMPUTED_VALUE"""),1000.00102055937)</f>
        <v>1000.001021</v>
      </c>
      <c r="J18" s="30">
        <f>IFERROR(__xludf.DUMMYFUNCTION("""COMPUTED_VALUE"""),999.763919825197)</f>
        <v>999.7639198</v>
      </c>
      <c r="K18" s="40">
        <f>IFERROR(__xludf.DUMMYFUNCTION("""COMPUTED_VALUE"""),0.999986666666666)</f>
        <v>0.9999866667</v>
      </c>
      <c r="L18" s="41">
        <f>IFERROR(__xludf.DUMMYFUNCTION("""COMPUTED_VALUE"""),1.9799736E7)</f>
        <v>19799736</v>
      </c>
      <c r="M18" s="42">
        <f>IFERROR(__xludf.DUMMYFUNCTION("""COMPUTED_VALUE"""),0.0361342676516722)</f>
        <v>0.03613426765</v>
      </c>
      <c r="N18" s="43">
        <f>IFERROR(__xludf.DUMMYFUNCTION("""COMPUTED_VALUE"""),597.641455456092)</f>
        <v>597.6414555</v>
      </c>
      <c r="O18" s="37">
        <f>IFERROR(__xludf.DUMMYFUNCTION("""COMPUTED_VALUE"""),300.365315193353)</f>
        <v>300.3653152</v>
      </c>
    </row>
    <row r="19">
      <c r="A19" s="38">
        <f>IFERROR(__xludf.DUMMYFUNCTION("""COMPUTED_VALUE"""),46.0)</f>
        <v>46</v>
      </c>
      <c r="B19" s="30">
        <f>IFERROR(__xludf.DUMMYFUNCTION("""COMPUTED_VALUE"""),0.116445897)</f>
        <v>0.116445897</v>
      </c>
      <c r="C19" s="30">
        <f>IFERROR(__xludf.DUMMYFUNCTION("""COMPUTED_VALUE"""),0.110527042)</f>
        <v>0.110527042</v>
      </c>
      <c r="D19" s="30">
        <f>IFERROR(__xludf.DUMMYFUNCTION("""COMPUTED_VALUE"""),0.129837725)</f>
        <v>0.129837725</v>
      </c>
      <c r="E19" s="30">
        <f>IFERROR(__xludf.DUMMYFUNCTION("""COMPUTED_VALUE"""),0.144913037)</f>
        <v>0.144913037</v>
      </c>
      <c r="F19" s="30">
        <f>IFERROR(__xludf.DUMMYFUNCTION("""COMPUTED_VALUE"""),0.20894931)</f>
        <v>0.20894931</v>
      </c>
      <c r="G19" s="30">
        <f>IFERROR(__xludf.DUMMYFUNCTION("""COMPUTED_VALUE"""),1.254154763)</f>
        <v>1.254154763</v>
      </c>
      <c r="H19" s="39">
        <f>IFERROR(__xludf.DUMMYFUNCTION("""COMPUTED_VALUE"""),600000.0)</f>
        <v>600000</v>
      </c>
      <c r="I19" s="30">
        <f>IFERROR(__xludf.DUMMYFUNCTION("""COMPUTED_VALUE"""),1000.00178249151)</f>
        <v>1000.001782</v>
      </c>
      <c r="J19" s="30">
        <f>IFERROR(__xludf.DUMMYFUNCTION("""COMPUTED_VALUE"""),999.781237150989)</f>
        <v>999.7812372</v>
      </c>
      <c r="K19" s="40">
        <f>IFERROR(__xludf.DUMMYFUNCTION("""COMPUTED_VALUE"""),1.0)</f>
        <v>1</v>
      </c>
      <c r="L19" s="41">
        <f>IFERROR(__xludf.DUMMYFUNCTION("""COMPUTED_VALUE"""),1.98E7)</f>
        <v>19800000</v>
      </c>
      <c r="M19" s="42">
        <f>IFERROR(__xludf.DUMMYFUNCTION("""COMPUTED_VALUE"""),0.0355613182257525)</f>
        <v>0.03556131823</v>
      </c>
      <c r="N19" s="43">
        <f>IFERROR(__xludf.DUMMYFUNCTION("""COMPUTED_VALUE"""),325.274064204131)</f>
        <v>325.2740642</v>
      </c>
      <c r="O19" s="37">
        <f>IFERROR(__xludf.DUMMYFUNCTION("""COMPUTED_VALUE"""),93.7516225256571)</f>
        <v>93.75162253</v>
      </c>
    </row>
    <row r="20">
      <c r="A20" s="38">
        <f>IFERROR(__xludf.DUMMYFUNCTION("""COMPUTED_VALUE"""),48.0)</f>
        <v>48</v>
      </c>
      <c r="B20" s="30">
        <f>IFERROR(__xludf.DUMMYFUNCTION("""COMPUTED_VALUE"""),0.112795295)</f>
        <v>0.112795295</v>
      </c>
      <c r="C20" s="30">
        <f>IFERROR(__xludf.DUMMYFUNCTION("""COMPUTED_VALUE"""),0.109258783)</f>
        <v>0.109258783</v>
      </c>
      <c r="D20" s="30">
        <f>IFERROR(__xludf.DUMMYFUNCTION("""COMPUTED_VALUE"""),0.121071798)</f>
        <v>0.121071798</v>
      </c>
      <c r="E20" s="30">
        <f>IFERROR(__xludf.DUMMYFUNCTION("""COMPUTED_VALUE"""),0.130742079)</f>
        <v>0.130742079</v>
      </c>
      <c r="F20" s="30">
        <f>IFERROR(__xludf.DUMMYFUNCTION("""COMPUTED_VALUE"""),0.171443283)</f>
        <v>0.171443283</v>
      </c>
      <c r="G20" s="30">
        <f>IFERROR(__xludf.DUMMYFUNCTION("""COMPUTED_VALUE"""),0.357163254)</f>
        <v>0.357163254</v>
      </c>
      <c r="H20" s="39">
        <f>IFERROR(__xludf.DUMMYFUNCTION("""COMPUTED_VALUE"""),600000.0)</f>
        <v>600000</v>
      </c>
      <c r="I20" s="30">
        <f>IFERROR(__xludf.DUMMYFUNCTION("""COMPUTED_VALUE"""),1000.00113235294)</f>
        <v>1000.001132</v>
      </c>
      <c r="J20" s="30">
        <f>IFERROR(__xludf.DUMMYFUNCTION("""COMPUTED_VALUE"""),999.82030002955)</f>
        <v>999.8203</v>
      </c>
      <c r="K20" s="40">
        <f>IFERROR(__xludf.DUMMYFUNCTION("""COMPUTED_VALUE"""),1.0)</f>
        <v>1</v>
      </c>
      <c r="L20" s="41">
        <f>IFERROR(__xludf.DUMMYFUNCTION("""COMPUTED_VALUE"""),1.98E7)</f>
        <v>19800000</v>
      </c>
      <c r="M20" s="42">
        <f>IFERROR(__xludf.DUMMYFUNCTION("""COMPUTED_VALUE"""),0.0354808312876254)</f>
        <v>0.03548083129</v>
      </c>
      <c r="N20" s="43">
        <f>IFERROR(__xludf.DUMMYFUNCTION("""COMPUTED_VALUE"""),689.454184167572)</f>
        <v>689.4541842</v>
      </c>
      <c r="O20" s="37">
        <f>IFERROR(__xludf.DUMMYFUNCTION("""COMPUTED_VALUE"""),278.745295091108)</f>
        <v>278.7452951</v>
      </c>
    </row>
    <row r="21">
      <c r="A21" s="38">
        <f>IFERROR(__xludf.DUMMYFUNCTION("""COMPUTED_VALUE"""),50.0)</f>
        <v>50</v>
      </c>
      <c r="B21" s="30">
        <f>IFERROR(__xludf.DUMMYFUNCTION("""COMPUTED_VALUE"""),0.20140883)</f>
        <v>0.20140883</v>
      </c>
      <c r="C21" s="30">
        <f>IFERROR(__xludf.DUMMYFUNCTION("""COMPUTED_VALUE"""),0.111203945)</f>
        <v>0.111203945</v>
      </c>
      <c r="D21" s="30">
        <f>IFERROR(__xludf.DUMMYFUNCTION("""COMPUTED_VALUE"""),0.161611376)</f>
        <v>0.161611376</v>
      </c>
      <c r="E21" s="30">
        <f>IFERROR(__xludf.DUMMYFUNCTION("""COMPUTED_VALUE"""),0.378609068)</f>
        <v>0.378609068</v>
      </c>
      <c r="F21" s="30">
        <f>IFERROR(__xludf.DUMMYFUNCTION("""COMPUTED_VALUE"""),2.514814476)</f>
        <v>2.514814476</v>
      </c>
      <c r="G21" s="30">
        <f>IFERROR(__xludf.DUMMYFUNCTION("""COMPUTED_VALUE"""),40.148690464)</f>
        <v>40.14869046</v>
      </c>
      <c r="H21" s="39">
        <f>IFERROR(__xludf.DUMMYFUNCTION("""COMPUTED_VALUE"""),600000.0)</f>
        <v>600000</v>
      </c>
      <c r="I21" s="30">
        <f>IFERROR(__xludf.DUMMYFUNCTION("""COMPUTED_VALUE"""),1000.00044500853)</f>
        <v>1000.000445</v>
      </c>
      <c r="J21" s="30">
        <f>IFERROR(__xludf.DUMMYFUNCTION("""COMPUTED_VALUE"""),999.790294434411)</f>
        <v>999.7902944</v>
      </c>
      <c r="K21" s="40">
        <f>IFERROR(__xludf.DUMMYFUNCTION("""COMPUTED_VALUE"""),0.999971666666666)</f>
        <v>0.9999716667</v>
      </c>
      <c r="L21" s="41">
        <f>IFERROR(__xludf.DUMMYFUNCTION("""COMPUTED_VALUE"""),1.9799439E7)</f>
        <v>19799439</v>
      </c>
      <c r="M21" s="42">
        <f>IFERROR(__xludf.DUMMYFUNCTION("""COMPUTED_VALUE"""),0.0357941074021739)</f>
        <v>0.0357941074</v>
      </c>
      <c r="N21" s="43">
        <f>IFERROR(__xludf.DUMMYFUNCTION("""COMPUTED_VALUE"""),530.116743598836)</f>
        <v>530.1167436</v>
      </c>
      <c r="O21" s="37">
        <f>IFERROR(__xludf.DUMMYFUNCTION("""COMPUTED_VALUE"""),250.299534685029)</f>
        <v>250.2995347</v>
      </c>
    </row>
    <row r="22">
      <c r="A22" s="38">
        <f>IFERROR(__xludf.DUMMYFUNCTION("""COMPUTED_VALUE"""),52.0)</f>
        <v>52</v>
      </c>
      <c r="B22" s="30">
        <f>IFERROR(__xludf.DUMMYFUNCTION("""COMPUTED_VALUE"""),0.136081472)</f>
        <v>0.136081472</v>
      </c>
      <c r="C22" s="30">
        <f>IFERROR(__xludf.DUMMYFUNCTION("""COMPUTED_VALUE"""),0.111351518)</f>
        <v>0.111351518</v>
      </c>
      <c r="D22" s="30">
        <f>IFERROR(__xludf.DUMMYFUNCTION("""COMPUTED_VALUE"""),0.149484285)</f>
        <v>0.149484285</v>
      </c>
      <c r="E22" s="30">
        <f>IFERROR(__xludf.DUMMYFUNCTION("""COMPUTED_VALUE"""),0.21050375)</f>
        <v>0.21050375</v>
      </c>
      <c r="F22" s="30">
        <f>IFERROR(__xludf.DUMMYFUNCTION("""COMPUTED_VALUE"""),0.680533685)</f>
        <v>0.680533685</v>
      </c>
      <c r="G22" s="30">
        <f>IFERROR(__xludf.DUMMYFUNCTION("""COMPUTED_VALUE"""),4.821936891)</f>
        <v>4.821936891</v>
      </c>
      <c r="H22" s="39">
        <f>IFERROR(__xludf.DUMMYFUNCTION("""COMPUTED_VALUE"""),600000.0)</f>
        <v>600000</v>
      </c>
      <c r="I22" s="30">
        <f>IFERROR(__xludf.DUMMYFUNCTION("""COMPUTED_VALUE"""),1000.00121805815)</f>
        <v>1000.001218</v>
      </c>
      <c r="J22" s="30">
        <f>IFERROR(__xludf.DUMMYFUNCTION("""COMPUTED_VALUE"""),999.82266553309)</f>
        <v>999.8226655</v>
      </c>
      <c r="K22" s="40">
        <f>IFERROR(__xludf.DUMMYFUNCTION("""COMPUTED_VALUE"""),1.0)</f>
        <v>1</v>
      </c>
      <c r="L22" s="41">
        <f>IFERROR(__xludf.DUMMYFUNCTION("""COMPUTED_VALUE"""),1.98E7)</f>
        <v>19800000</v>
      </c>
      <c r="M22" s="42">
        <f>IFERROR(__xludf.DUMMYFUNCTION("""COMPUTED_VALUE"""),0.0355684997916387)</f>
        <v>0.03556849979</v>
      </c>
      <c r="N22" s="43">
        <f>IFERROR(__xludf.DUMMYFUNCTION("""COMPUTED_VALUE"""),438.110323302534)</f>
        <v>438.1103233</v>
      </c>
      <c r="O22" s="37">
        <f>IFERROR(__xludf.DUMMYFUNCTION("""COMPUTED_VALUE"""),170.187455649997)</f>
        <v>170.1874556</v>
      </c>
    </row>
    <row r="23">
      <c r="A23" s="38">
        <f>IFERROR(__xludf.DUMMYFUNCTION("""COMPUTED_VALUE"""),54.0)</f>
        <v>54</v>
      </c>
      <c r="B23" s="30">
        <f>IFERROR(__xludf.DUMMYFUNCTION("""COMPUTED_VALUE"""),0.159285252)</f>
        <v>0.159285252</v>
      </c>
      <c r="C23" s="30">
        <f>IFERROR(__xludf.DUMMYFUNCTION("""COMPUTED_VALUE"""),0.110406895)</f>
        <v>0.110406895</v>
      </c>
      <c r="D23" s="30">
        <f>IFERROR(__xludf.DUMMYFUNCTION("""COMPUTED_VALUE"""),0.144926147)</f>
        <v>0.144926147</v>
      </c>
      <c r="E23" s="30">
        <f>IFERROR(__xludf.DUMMYFUNCTION("""COMPUTED_VALUE"""),0.212635292)</f>
        <v>0.212635292</v>
      </c>
      <c r="F23" s="30">
        <f>IFERROR(__xludf.DUMMYFUNCTION("""COMPUTED_VALUE"""),1.535640291)</f>
        <v>1.535640291</v>
      </c>
      <c r="G23" s="30">
        <f>IFERROR(__xludf.DUMMYFUNCTION("""COMPUTED_VALUE"""),8.192894382)</f>
        <v>8.192894382</v>
      </c>
      <c r="H23" s="39">
        <f>IFERROR(__xludf.DUMMYFUNCTION("""COMPUTED_VALUE"""),600000.0)</f>
        <v>600000</v>
      </c>
      <c r="I23" s="30">
        <f>IFERROR(__xludf.DUMMYFUNCTION("""COMPUTED_VALUE"""),1000.00139215027)</f>
        <v>1000.001392</v>
      </c>
      <c r="J23" s="30">
        <f>IFERROR(__xludf.DUMMYFUNCTION("""COMPUTED_VALUE"""),999.820974869069)</f>
        <v>999.8209749</v>
      </c>
      <c r="K23" s="40">
        <f>IFERROR(__xludf.DUMMYFUNCTION("""COMPUTED_VALUE"""),1.0)</f>
        <v>1</v>
      </c>
      <c r="L23" s="41">
        <f>IFERROR(__xludf.DUMMYFUNCTION("""COMPUTED_VALUE"""),1.98E7)</f>
        <v>19800000</v>
      </c>
      <c r="M23" s="42">
        <f>IFERROR(__xludf.DUMMYFUNCTION("""COMPUTED_VALUE"""),0.0386381379192307)</f>
        <v>0.03863813792</v>
      </c>
      <c r="N23" s="43">
        <f>IFERROR(__xludf.DUMMYFUNCTION("""COMPUTED_VALUE"""),327.152941611453)</f>
        <v>327.1529416</v>
      </c>
      <c r="O23" s="37">
        <f>IFERROR(__xludf.DUMMYFUNCTION("""COMPUTED_VALUE"""),93.9656480874392)</f>
        <v>93.96564809</v>
      </c>
    </row>
    <row r="24">
      <c r="A24" s="38">
        <f>IFERROR(__xludf.DUMMYFUNCTION("""COMPUTED_VALUE"""),56.0)</f>
        <v>56</v>
      </c>
      <c r="B24" s="30">
        <f>IFERROR(__xludf.DUMMYFUNCTION("""COMPUTED_VALUE"""),0.190986245)</f>
        <v>0.190986245</v>
      </c>
      <c r="C24" s="30">
        <f>IFERROR(__xludf.DUMMYFUNCTION("""COMPUTED_VALUE"""),0.109860921)</f>
        <v>0.109860921</v>
      </c>
      <c r="D24" s="30">
        <f>IFERROR(__xludf.DUMMYFUNCTION("""COMPUTED_VALUE"""),0.136086525)</f>
        <v>0.136086525</v>
      </c>
      <c r="E24" s="30">
        <f>IFERROR(__xludf.DUMMYFUNCTION("""COMPUTED_VALUE"""),0.176838361)</f>
        <v>0.176838361</v>
      </c>
      <c r="F24" s="30">
        <f>IFERROR(__xludf.DUMMYFUNCTION("""COMPUTED_VALUE"""),2.836587993)</f>
        <v>2.836587993</v>
      </c>
      <c r="G24" s="30">
        <f>IFERROR(__xludf.DUMMYFUNCTION("""COMPUTED_VALUE"""),17.979167047)</f>
        <v>17.97916705</v>
      </c>
      <c r="H24" s="39">
        <f>IFERROR(__xludf.DUMMYFUNCTION("""COMPUTED_VALUE"""),600000.0)</f>
        <v>600000</v>
      </c>
      <c r="I24" s="30">
        <f>IFERROR(__xludf.DUMMYFUNCTION("""COMPUTED_VALUE"""),1000.00171880128)</f>
        <v>1000.001719</v>
      </c>
      <c r="J24" s="30">
        <f>IFERROR(__xludf.DUMMYFUNCTION("""COMPUTED_VALUE"""),999.430439034771)</f>
        <v>999.430439</v>
      </c>
      <c r="K24" s="40">
        <f>IFERROR(__xludf.DUMMYFUNCTION("""COMPUTED_VALUE"""),0.999605)</f>
        <v>0.999605</v>
      </c>
      <c r="L24" s="41">
        <f>IFERROR(__xludf.DUMMYFUNCTION("""COMPUTED_VALUE"""),1.9792179E7)</f>
        <v>19792179</v>
      </c>
      <c r="M24" s="42">
        <f>IFERROR(__xludf.DUMMYFUNCTION("""COMPUTED_VALUE"""),0.0371168920894648)</f>
        <v>0.03711689209</v>
      </c>
      <c r="N24" s="43">
        <f>IFERROR(__xludf.DUMMYFUNCTION("""COMPUTED_VALUE"""),415.902125427042)</f>
        <v>415.9021254</v>
      </c>
      <c r="O24" s="37">
        <f>IFERROR(__xludf.DUMMYFUNCTION("""COMPUTED_VALUE"""),98.5333006986931)</f>
        <v>98.5333007</v>
      </c>
    </row>
    <row r="25">
      <c r="A25" s="38">
        <f>IFERROR(__xludf.DUMMYFUNCTION("""COMPUTED_VALUE"""),58.0)</f>
        <v>58</v>
      </c>
      <c r="B25" s="30">
        <f>IFERROR(__xludf.DUMMYFUNCTION("""COMPUTED_VALUE"""),0.159254364)</f>
        <v>0.159254364</v>
      </c>
      <c r="C25" s="30">
        <f>IFERROR(__xludf.DUMMYFUNCTION("""COMPUTED_VALUE"""),0.10862898)</f>
        <v>0.10862898</v>
      </c>
      <c r="D25" s="30">
        <f>IFERROR(__xludf.DUMMYFUNCTION("""COMPUTED_VALUE"""),0.122271814)</f>
        <v>0.122271814</v>
      </c>
      <c r="E25" s="30">
        <f>IFERROR(__xludf.DUMMYFUNCTION("""COMPUTED_VALUE"""),0.139071188)</f>
        <v>0.139071188</v>
      </c>
      <c r="F25" s="30">
        <f>IFERROR(__xludf.DUMMYFUNCTION("""COMPUTED_VALUE"""),1.828304059)</f>
        <v>1.828304059</v>
      </c>
      <c r="G25" s="30">
        <f>IFERROR(__xludf.DUMMYFUNCTION("""COMPUTED_VALUE"""),15.874730261)</f>
        <v>15.87473026</v>
      </c>
      <c r="H25" s="39">
        <f>IFERROR(__xludf.DUMMYFUNCTION("""COMPUTED_VALUE"""),600000.0)</f>
        <v>600000</v>
      </c>
      <c r="I25" s="30">
        <f>IFERROR(__xludf.DUMMYFUNCTION("""COMPUTED_VALUE"""),1000.00113270961)</f>
        <v>1000.001133</v>
      </c>
      <c r="J25" s="30">
        <f>IFERROR(__xludf.DUMMYFUNCTION("""COMPUTED_VALUE"""),996.297275921096)</f>
        <v>996.2972759</v>
      </c>
      <c r="K25" s="40">
        <f>IFERROR(__xludf.DUMMYFUNCTION("""COMPUTED_VALUE"""),0.999986666666666)</f>
        <v>0.9999866667</v>
      </c>
      <c r="L25" s="41">
        <f>IFERROR(__xludf.DUMMYFUNCTION("""COMPUTED_VALUE"""),1.9799736E7)</f>
        <v>19799736</v>
      </c>
      <c r="M25" s="42">
        <f>IFERROR(__xludf.DUMMYFUNCTION("""COMPUTED_VALUE"""),0.0356745874416666)</f>
        <v>0.03567458744</v>
      </c>
      <c r="N25" s="43">
        <f>IFERROR(__xludf.DUMMYFUNCTION("""COMPUTED_VALUE"""),690.165205893619)</f>
        <v>690.1652059</v>
      </c>
      <c r="O25" s="37">
        <f>IFERROR(__xludf.DUMMYFUNCTION("""COMPUTED_VALUE"""),297.598482529322)</f>
        <v>297.5984825</v>
      </c>
    </row>
    <row r="26">
      <c r="A26" s="38">
        <f>IFERROR(__xludf.DUMMYFUNCTION("""COMPUTED_VALUE"""),62.0)</f>
        <v>62</v>
      </c>
      <c r="B26" s="30">
        <f>IFERROR(__xludf.DUMMYFUNCTION("""COMPUTED_VALUE"""),0.109934616)</f>
        <v>0.109934616</v>
      </c>
      <c r="C26" s="30">
        <f>IFERROR(__xludf.DUMMYFUNCTION("""COMPUTED_VALUE"""),0.108068029)</f>
        <v>0.108068029</v>
      </c>
      <c r="D26" s="30">
        <f>IFERROR(__xludf.DUMMYFUNCTION("""COMPUTED_VALUE"""),0.115950292)</f>
        <v>0.115950292</v>
      </c>
      <c r="E26" s="30">
        <f>IFERROR(__xludf.DUMMYFUNCTION("""COMPUTED_VALUE"""),0.121063234)</f>
        <v>0.121063234</v>
      </c>
      <c r="F26" s="30">
        <f>IFERROR(__xludf.DUMMYFUNCTION("""COMPUTED_VALUE"""),0.13652753)</f>
        <v>0.13652753</v>
      </c>
      <c r="G26" s="30">
        <f>IFERROR(__xludf.DUMMYFUNCTION("""COMPUTED_VALUE"""),0.314031549)</f>
        <v>0.314031549</v>
      </c>
      <c r="H26" s="39">
        <f>IFERROR(__xludf.DUMMYFUNCTION("""COMPUTED_VALUE"""),600000.0)</f>
        <v>600000</v>
      </c>
      <c r="I26" s="30">
        <f>IFERROR(__xludf.DUMMYFUNCTION("""COMPUTED_VALUE"""),1000.00106882447)</f>
        <v>1000.001069</v>
      </c>
      <c r="J26" s="30">
        <f>IFERROR(__xludf.DUMMYFUNCTION("""COMPUTED_VALUE"""),999.820826175679)</f>
        <v>999.8208262</v>
      </c>
      <c r="K26" s="40">
        <f>IFERROR(__xludf.DUMMYFUNCTION("""COMPUTED_VALUE"""),1.0)</f>
        <v>1</v>
      </c>
      <c r="L26" s="41">
        <f>IFERROR(__xludf.DUMMYFUNCTION("""COMPUTED_VALUE"""),1.98E7)</f>
        <v>19800000</v>
      </c>
      <c r="M26" s="42">
        <f>IFERROR(__xludf.DUMMYFUNCTION("""COMPUTED_VALUE"""),0.0383197498428093)</f>
        <v>0.03831974984</v>
      </c>
      <c r="N26" s="43">
        <f>IFERROR(__xludf.DUMMYFUNCTION("""COMPUTED_VALUE"""),240.117416195558)</f>
        <v>240.1174162</v>
      </c>
      <c r="O26" s="37">
        <f>IFERROR(__xludf.DUMMYFUNCTION("""COMPUTED_VALUE"""),54.1990847734827)</f>
        <v>54.19908477</v>
      </c>
    </row>
    <row r="27">
      <c r="A27" s="38">
        <f>IFERROR(__xludf.DUMMYFUNCTION("""COMPUTED_VALUE"""),64.0)</f>
        <v>64</v>
      </c>
      <c r="B27" s="30">
        <f>IFERROR(__xludf.DUMMYFUNCTION("""COMPUTED_VALUE"""),0.167188239)</f>
        <v>0.167188239</v>
      </c>
      <c r="C27" s="30">
        <f>IFERROR(__xludf.DUMMYFUNCTION("""COMPUTED_VALUE"""),0.108658087)</f>
        <v>0.108658087</v>
      </c>
      <c r="D27" s="30">
        <f>IFERROR(__xludf.DUMMYFUNCTION("""COMPUTED_VALUE"""),0.13386818)</f>
        <v>0.13386818</v>
      </c>
      <c r="E27" s="30">
        <f>IFERROR(__xludf.DUMMYFUNCTION("""COMPUTED_VALUE"""),0.269275051)</f>
        <v>0.269275051</v>
      </c>
      <c r="F27" s="30">
        <f>IFERROR(__xludf.DUMMYFUNCTION("""COMPUTED_VALUE"""),1.752252693)</f>
        <v>1.752252693</v>
      </c>
      <c r="G27" s="30">
        <f>IFERROR(__xludf.DUMMYFUNCTION("""COMPUTED_VALUE"""),13.296849704)</f>
        <v>13.2968497</v>
      </c>
      <c r="H27" s="39">
        <f>IFERROR(__xludf.DUMMYFUNCTION("""COMPUTED_VALUE"""),600000.0)</f>
        <v>600000</v>
      </c>
      <c r="I27" s="30">
        <f>IFERROR(__xludf.DUMMYFUNCTION("""COMPUTED_VALUE"""),1000.00135930018)</f>
        <v>1000.001359</v>
      </c>
      <c r="J27" s="30">
        <f>IFERROR(__xludf.DUMMYFUNCTION("""COMPUTED_VALUE"""),999.815157687565)</f>
        <v>999.8151577</v>
      </c>
      <c r="K27" s="40">
        <f>IFERROR(__xludf.DUMMYFUNCTION("""COMPUTED_VALUE"""),0.99999)</f>
        <v>0.99999</v>
      </c>
      <c r="L27" s="41">
        <f>IFERROR(__xludf.DUMMYFUNCTION("""COMPUTED_VALUE"""),1.9799802E7)</f>
        <v>19799802</v>
      </c>
      <c r="M27" s="42">
        <f>IFERROR(__xludf.DUMMYFUNCTION("""COMPUTED_VALUE"""),0.0372727367056856)</f>
        <v>0.03727273671</v>
      </c>
      <c r="N27" s="43">
        <f>IFERROR(__xludf.DUMMYFUNCTION("""COMPUTED_VALUE"""),422.336021749722)</f>
        <v>422.3360217</v>
      </c>
      <c r="O27" s="37">
        <f>IFERROR(__xludf.DUMMYFUNCTION("""COMPUTED_VALUE"""),147.218243950828)</f>
        <v>147.218244</v>
      </c>
    </row>
    <row r="28">
      <c r="A28" s="38">
        <f>IFERROR(__xludf.DUMMYFUNCTION("""COMPUTED_VALUE"""),66.0)</f>
        <v>66</v>
      </c>
      <c r="B28" s="30">
        <f>IFERROR(__xludf.DUMMYFUNCTION("""COMPUTED_VALUE"""),0.110491713)</f>
        <v>0.110491713</v>
      </c>
      <c r="C28" s="30">
        <f>IFERROR(__xludf.DUMMYFUNCTION("""COMPUTED_VALUE"""),0.108359638)</f>
        <v>0.108359638</v>
      </c>
      <c r="D28" s="30">
        <f>IFERROR(__xludf.DUMMYFUNCTION("""COMPUTED_VALUE"""),0.11638752)</f>
        <v>0.11638752</v>
      </c>
      <c r="E28" s="30">
        <f>IFERROR(__xludf.DUMMYFUNCTION("""COMPUTED_VALUE"""),0.121652307)</f>
        <v>0.121652307</v>
      </c>
      <c r="F28" s="30">
        <f>IFERROR(__xludf.DUMMYFUNCTION("""COMPUTED_VALUE"""),0.14085589)</f>
        <v>0.14085589</v>
      </c>
      <c r="G28" s="30">
        <f>IFERROR(__xludf.DUMMYFUNCTION("""COMPUTED_VALUE"""),0.446520654)</f>
        <v>0.446520654</v>
      </c>
      <c r="H28" s="39">
        <f>IFERROR(__xludf.DUMMYFUNCTION("""COMPUTED_VALUE"""),599999.0)</f>
        <v>599999</v>
      </c>
      <c r="I28" s="30">
        <f>IFERROR(__xludf.DUMMYFUNCTION("""COMPUTED_VALUE"""),1000.00012592522)</f>
        <v>1000.000126</v>
      </c>
      <c r="J28" s="30">
        <f>IFERROR(__xludf.DUMMYFUNCTION("""COMPUTED_VALUE"""),999.816007187873)</f>
        <v>999.8160072</v>
      </c>
      <c r="K28" s="40">
        <f>IFERROR(__xludf.DUMMYFUNCTION("""COMPUTED_VALUE"""),1.0)</f>
        <v>1</v>
      </c>
      <c r="L28" s="41">
        <f>IFERROR(__xludf.DUMMYFUNCTION("""COMPUTED_VALUE"""),1.9799967E7)</f>
        <v>19799967</v>
      </c>
      <c r="M28" s="42">
        <f>IFERROR(__xludf.DUMMYFUNCTION("""COMPUTED_VALUE"""),0.0382900717040133)</f>
        <v>0.0382900717</v>
      </c>
      <c r="N28" s="43">
        <f>IFERROR(__xludf.DUMMYFUNCTION("""COMPUTED_VALUE"""),252.59217409379)</f>
        <v>252.5921741</v>
      </c>
      <c r="O28" s="37">
        <f>IFERROR(__xludf.DUMMYFUNCTION("""COMPUTED_VALUE"""),54.7979176495526)</f>
        <v>54.79791765</v>
      </c>
    </row>
    <row r="29">
      <c r="A29" s="38">
        <f>IFERROR(__xludf.DUMMYFUNCTION("""COMPUTED_VALUE"""),68.0)</f>
        <v>68</v>
      </c>
      <c r="B29" s="30">
        <f>IFERROR(__xludf.DUMMYFUNCTION("""COMPUTED_VALUE"""),0.11149579)</f>
        <v>0.11149579</v>
      </c>
      <c r="C29" s="30">
        <f>IFERROR(__xludf.DUMMYFUNCTION("""COMPUTED_VALUE"""),0.109038941)</f>
        <v>0.109038941</v>
      </c>
      <c r="D29" s="30">
        <f>IFERROR(__xludf.DUMMYFUNCTION("""COMPUTED_VALUE"""),0.11759249)</f>
        <v>0.11759249</v>
      </c>
      <c r="E29" s="30">
        <f>IFERROR(__xludf.DUMMYFUNCTION("""COMPUTED_VALUE"""),0.122841989)</f>
        <v>0.122841989</v>
      </c>
      <c r="F29" s="30">
        <f>IFERROR(__xludf.DUMMYFUNCTION("""COMPUTED_VALUE"""),0.145560932)</f>
        <v>0.145560932</v>
      </c>
      <c r="G29" s="30">
        <f>IFERROR(__xludf.DUMMYFUNCTION("""COMPUTED_VALUE"""),0.468406902)</f>
        <v>0.468406902</v>
      </c>
      <c r="H29" s="39">
        <f>IFERROR(__xludf.DUMMYFUNCTION("""COMPUTED_VALUE"""),600000.0)</f>
        <v>600000</v>
      </c>
      <c r="I29" s="30">
        <f>IFERROR(__xludf.DUMMYFUNCTION("""COMPUTED_VALUE"""),1000.0000598662)</f>
        <v>1000.00006</v>
      </c>
      <c r="J29" s="30">
        <f>IFERROR(__xludf.DUMMYFUNCTION("""COMPUTED_VALUE"""),999.819858121943)</f>
        <v>999.8198581</v>
      </c>
      <c r="K29" s="40">
        <f>IFERROR(__xludf.DUMMYFUNCTION("""COMPUTED_VALUE"""),1.0)</f>
        <v>1</v>
      </c>
      <c r="L29" s="41">
        <f>IFERROR(__xludf.DUMMYFUNCTION("""COMPUTED_VALUE"""),1.98E7)</f>
        <v>19800000</v>
      </c>
      <c r="M29" s="42">
        <f>IFERROR(__xludf.DUMMYFUNCTION("""COMPUTED_VALUE"""),0.0377993269849498)</f>
        <v>0.03779932698</v>
      </c>
      <c r="N29" s="43">
        <f>IFERROR(__xludf.DUMMYFUNCTION("""COMPUTED_VALUE"""),266.347859535472)</f>
        <v>266.3478595</v>
      </c>
      <c r="O29" s="37">
        <f>IFERROR(__xludf.DUMMYFUNCTION("""COMPUTED_VALUE"""),67.4387723303301)</f>
        <v>67.43877233</v>
      </c>
    </row>
    <row r="30">
      <c r="A30" s="38">
        <f>IFERROR(__xludf.DUMMYFUNCTION("""COMPUTED_VALUE"""),70.0)</f>
        <v>70</v>
      </c>
      <c r="B30" s="30">
        <f>IFERROR(__xludf.DUMMYFUNCTION("""COMPUTED_VALUE"""),0.131670109)</f>
        <v>0.131670109</v>
      </c>
      <c r="C30" s="30">
        <f>IFERROR(__xludf.DUMMYFUNCTION("""COMPUTED_VALUE"""),0.109273525)</f>
        <v>0.109273525</v>
      </c>
      <c r="D30" s="30">
        <f>IFERROR(__xludf.DUMMYFUNCTION("""COMPUTED_VALUE"""),0.135261286)</f>
        <v>0.135261286</v>
      </c>
      <c r="E30" s="30">
        <f>IFERROR(__xludf.DUMMYFUNCTION("""COMPUTED_VALUE"""),0.258875073)</f>
        <v>0.258875073</v>
      </c>
      <c r="F30" s="30">
        <f>IFERROR(__xludf.DUMMYFUNCTION("""COMPUTED_VALUE"""),0.60517779)</f>
        <v>0.60517779</v>
      </c>
      <c r="G30" s="30">
        <f>IFERROR(__xludf.DUMMYFUNCTION("""COMPUTED_VALUE"""),2.973716789)</f>
        <v>2.973716789</v>
      </c>
      <c r="H30" s="39">
        <f>IFERROR(__xludf.DUMMYFUNCTION("""COMPUTED_VALUE"""),600000.0)</f>
        <v>600000</v>
      </c>
      <c r="I30" s="30">
        <f>IFERROR(__xludf.DUMMYFUNCTION("""COMPUTED_VALUE"""),1000.00056159364)</f>
        <v>1000.000562</v>
      </c>
      <c r="J30" s="30">
        <f>IFERROR(__xludf.DUMMYFUNCTION("""COMPUTED_VALUE"""),998.967687453767)</f>
        <v>998.9676875</v>
      </c>
      <c r="K30" s="40">
        <f>IFERROR(__xludf.DUMMYFUNCTION("""COMPUTED_VALUE"""),1.0)</f>
        <v>1</v>
      </c>
      <c r="L30" s="41">
        <f>IFERROR(__xludf.DUMMYFUNCTION("""COMPUTED_VALUE"""),1.98E7)</f>
        <v>19800000</v>
      </c>
      <c r="M30" s="42">
        <f>IFERROR(__xludf.DUMMYFUNCTION("""COMPUTED_VALUE"""),0.0371624282983277)</f>
        <v>0.0371624283</v>
      </c>
      <c r="N30" s="43">
        <f>IFERROR(__xludf.DUMMYFUNCTION("""COMPUTED_VALUE"""),446.292774498164)</f>
        <v>446.2927745</v>
      </c>
      <c r="O30" s="37">
        <f>IFERROR(__xludf.DUMMYFUNCTION("""COMPUTED_VALUE"""),183.776799186827)</f>
        <v>183.7767992</v>
      </c>
    </row>
    <row r="31">
      <c r="A31" s="38">
        <f>IFERROR(__xludf.DUMMYFUNCTION("""COMPUTED_VALUE"""),78.0)</f>
        <v>78</v>
      </c>
      <c r="B31" s="30">
        <f>IFERROR(__xludf.DUMMYFUNCTION("""COMPUTED_VALUE"""),0.115825681)</f>
        <v>0.115825681</v>
      </c>
      <c r="C31" s="30">
        <f>IFERROR(__xludf.DUMMYFUNCTION("""COMPUTED_VALUE"""),0.111203484)</f>
        <v>0.111203484</v>
      </c>
      <c r="D31" s="30">
        <f>IFERROR(__xludf.DUMMYFUNCTION("""COMPUTED_VALUE"""),0.128304727)</f>
        <v>0.128304727</v>
      </c>
      <c r="E31" s="30">
        <f>IFERROR(__xludf.DUMMYFUNCTION("""COMPUTED_VALUE"""),0.139246085)</f>
        <v>0.139246085</v>
      </c>
      <c r="F31" s="30">
        <f>IFERROR(__xludf.DUMMYFUNCTION("""COMPUTED_VALUE"""),0.191991016)</f>
        <v>0.191991016</v>
      </c>
      <c r="G31" s="30">
        <f>IFERROR(__xludf.DUMMYFUNCTION("""COMPUTED_VALUE"""),0.467422128)</f>
        <v>0.467422128</v>
      </c>
      <c r="H31" s="39">
        <f>IFERROR(__xludf.DUMMYFUNCTION("""COMPUTED_VALUE"""),600000.0)</f>
        <v>600000</v>
      </c>
      <c r="I31" s="30">
        <f>IFERROR(__xludf.DUMMYFUNCTION("""COMPUTED_VALUE"""),1000.00113759629)</f>
        <v>1000.001138</v>
      </c>
      <c r="J31" s="30">
        <f>IFERROR(__xludf.DUMMYFUNCTION("""COMPUTED_VALUE"""),999.826892506392)</f>
        <v>999.8268925</v>
      </c>
      <c r="K31" s="40">
        <f>IFERROR(__xludf.DUMMYFUNCTION("""COMPUTED_VALUE"""),1.0)</f>
        <v>1</v>
      </c>
      <c r="L31" s="41">
        <f>IFERROR(__xludf.DUMMYFUNCTION("""COMPUTED_VALUE"""),1.98E7)</f>
        <v>19800000</v>
      </c>
      <c r="M31" s="42">
        <f>IFERROR(__xludf.DUMMYFUNCTION("""COMPUTED_VALUE"""),0.0349106136856187)</f>
        <v>0.03491061369</v>
      </c>
      <c r="N31" s="43">
        <f>IFERROR(__xludf.DUMMYFUNCTION("""COMPUTED_VALUE"""),491.243607844255)</f>
        <v>491.2436078</v>
      </c>
      <c r="O31" s="37">
        <f>IFERROR(__xludf.DUMMYFUNCTION("""COMPUTED_VALUE"""),204.617246411063)</f>
        <v>204.6172464</v>
      </c>
    </row>
    <row r="32">
      <c r="A32" s="38">
        <f>IFERROR(__xludf.DUMMYFUNCTION("""COMPUTED_VALUE"""),80.0)</f>
        <v>80</v>
      </c>
      <c r="B32" s="30">
        <f>IFERROR(__xludf.DUMMYFUNCTION("""COMPUTED_VALUE"""),0.154045865)</f>
        <v>0.154045865</v>
      </c>
      <c r="C32" s="30">
        <f>IFERROR(__xludf.DUMMYFUNCTION("""COMPUTED_VALUE"""),0.112152818)</f>
        <v>0.112152818</v>
      </c>
      <c r="D32" s="30">
        <f>IFERROR(__xludf.DUMMYFUNCTION("""COMPUTED_VALUE"""),0.141952945)</f>
        <v>0.141952945</v>
      </c>
      <c r="E32" s="30">
        <f>IFERROR(__xludf.DUMMYFUNCTION("""COMPUTED_VALUE"""),0.177260063)</f>
        <v>0.177260063</v>
      </c>
      <c r="F32" s="30">
        <f>IFERROR(__xludf.DUMMYFUNCTION("""COMPUTED_VALUE"""),1.453526795)</f>
        <v>1.453526795</v>
      </c>
      <c r="G32" s="30">
        <f>IFERROR(__xludf.DUMMYFUNCTION("""COMPUTED_VALUE"""),10.983787028)</f>
        <v>10.98378703</v>
      </c>
      <c r="H32" s="39">
        <f>IFERROR(__xludf.DUMMYFUNCTION("""COMPUTED_VALUE"""),600000.0)</f>
        <v>600000</v>
      </c>
      <c r="I32" s="30">
        <f>IFERROR(__xludf.DUMMYFUNCTION("""COMPUTED_VALUE"""),1000.00117287137)</f>
        <v>1000.001173</v>
      </c>
      <c r="J32" s="30">
        <f>IFERROR(__xludf.DUMMYFUNCTION("""COMPUTED_VALUE"""),999.811222751911)</f>
        <v>999.8112228</v>
      </c>
      <c r="K32" s="40">
        <f>IFERROR(__xludf.DUMMYFUNCTION("""COMPUTED_VALUE"""),1.0)</f>
        <v>1</v>
      </c>
      <c r="L32" s="41">
        <f>IFERROR(__xludf.DUMMYFUNCTION("""COMPUTED_VALUE"""),1.98E7)</f>
        <v>19800000</v>
      </c>
      <c r="M32" s="42">
        <f>IFERROR(__xludf.DUMMYFUNCTION("""COMPUTED_VALUE"""),0.0367822402976588)</f>
        <v>0.0367822403</v>
      </c>
      <c r="N32" s="43">
        <f>IFERROR(__xludf.DUMMYFUNCTION("""COMPUTED_VALUE"""),321.278467705333)</f>
        <v>321.2784677</v>
      </c>
      <c r="O32" s="37">
        <f>IFERROR(__xludf.DUMMYFUNCTION("""COMPUTED_VALUE"""),94.9996336438664)</f>
        <v>94.99963364</v>
      </c>
    </row>
    <row r="33">
      <c r="A33" s="38">
        <f>IFERROR(__xludf.DUMMYFUNCTION("""COMPUTED_VALUE"""),82.0)</f>
        <v>82</v>
      </c>
      <c r="B33" s="30">
        <f>IFERROR(__xludf.DUMMYFUNCTION("""COMPUTED_VALUE"""),0.122625092)</f>
        <v>0.122625092</v>
      </c>
      <c r="C33" s="30">
        <f>IFERROR(__xludf.DUMMYFUNCTION("""COMPUTED_VALUE"""),0.108907538)</f>
        <v>0.108907538</v>
      </c>
      <c r="D33" s="30">
        <f>IFERROR(__xludf.DUMMYFUNCTION("""COMPUTED_VALUE"""),0.123833842)</f>
        <v>0.123833842</v>
      </c>
      <c r="E33" s="30">
        <f>IFERROR(__xludf.DUMMYFUNCTION("""COMPUTED_VALUE"""),0.138243177)</f>
        <v>0.138243177</v>
      </c>
      <c r="F33" s="30">
        <f>IFERROR(__xludf.DUMMYFUNCTION("""COMPUTED_VALUE"""),0.418200096)</f>
        <v>0.418200096</v>
      </c>
      <c r="G33" s="30">
        <f>IFERROR(__xludf.DUMMYFUNCTION("""COMPUTED_VALUE"""),5.787904534)</f>
        <v>5.787904534</v>
      </c>
      <c r="H33" s="39">
        <f>IFERROR(__xludf.DUMMYFUNCTION("""COMPUTED_VALUE"""),600000.0)</f>
        <v>600000</v>
      </c>
      <c r="I33" s="30">
        <f>IFERROR(__xludf.DUMMYFUNCTION("""COMPUTED_VALUE"""),1000.00155925409)</f>
        <v>1000.001559</v>
      </c>
      <c r="J33" s="30">
        <f>IFERROR(__xludf.DUMMYFUNCTION("""COMPUTED_VALUE"""),999.824223141269)</f>
        <v>999.8242231</v>
      </c>
      <c r="K33" s="40">
        <f>IFERROR(__xludf.DUMMYFUNCTION("""COMPUTED_VALUE"""),1.0)</f>
        <v>1</v>
      </c>
      <c r="L33" s="41">
        <f>IFERROR(__xludf.DUMMYFUNCTION("""COMPUTED_VALUE"""),1.98E7)</f>
        <v>19800000</v>
      </c>
      <c r="M33" s="42">
        <f>IFERROR(__xludf.DUMMYFUNCTION("""COMPUTED_VALUE"""),0.0357071219242474)</f>
        <v>0.03570712192</v>
      </c>
      <c r="N33" s="43">
        <f>IFERROR(__xludf.DUMMYFUNCTION("""COMPUTED_VALUE"""),356.344212594135)</f>
        <v>356.3442126</v>
      </c>
      <c r="O33" s="37">
        <f>IFERROR(__xludf.DUMMYFUNCTION("""COMPUTED_VALUE"""),119.669113978633)</f>
        <v>119.669114</v>
      </c>
    </row>
    <row r="34">
      <c r="A34" s="39">
        <f>IFERROR(__xludf.DUMMYFUNCTION("""COMPUTED_VALUE"""),84.0)</f>
        <v>84</v>
      </c>
      <c r="B34" s="30">
        <f>IFERROR(__xludf.DUMMYFUNCTION("""COMPUTED_VALUE"""),0.282572396)</f>
        <v>0.282572396</v>
      </c>
      <c r="C34" s="30">
        <f>IFERROR(__xludf.DUMMYFUNCTION("""COMPUTED_VALUE"""),0.110948822)</f>
        <v>0.110948822</v>
      </c>
      <c r="D34" s="30">
        <f>IFERROR(__xludf.DUMMYFUNCTION("""COMPUTED_VALUE"""),0.161401375)</f>
        <v>0.161401375</v>
      </c>
      <c r="E34" s="30">
        <f>IFERROR(__xludf.DUMMYFUNCTION("""COMPUTED_VALUE"""),0.466476022)</f>
        <v>0.466476022</v>
      </c>
      <c r="F34" s="30">
        <f>IFERROR(__xludf.DUMMYFUNCTION("""COMPUTED_VALUE"""),5.76928349)</f>
        <v>5.76928349</v>
      </c>
      <c r="G34" s="30">
        <f>IFERROR(__xludf.DUMMYFUNCTION("""COMPUTED_VALUE"""),27.2078798)</f>
        <v>27.2078798</v>
      </c>
      <c r="H34" s="39">
        <f>IFERROR(__xludf.DUMMYFUNCTION("""COMPUTED_VALUE"""),600000.0)</f>
        <v>600000</v>
      </c>
      <c r="I34" s="30">
        <f>IFERROR(__xludf.DUMMYFUNCTION("""COMPUTED_VALUE"""),1000.00127240328)</f>
        <v>1000.001272</v>
      </c>
      <c r="J34" s="30">
        <f>IFERROR(__xludf.DUMMYFUNCTION("""COMPUTED_VALUE"""),998.67699630616)</f>
        <v>998.6769963</v>
      </c>
      <c r="K34" s="40">
        <f>IFERROR(__xludf.DUMMYFUNCTION("""COMPUTED_VALUE"""),0.998863333333333)</f>
        <v>0.9988633333</v>
      </c>
      <c r="L34" s="41">
        <f>IFERROR(__xludf.DUMMYFUNCTION("""COMPUTED_VALUE"""),1.9777494E7)</f>
        <v>19777494</v>
      </c>
      <c r="M34" s="42">
        <f>IFERROR(__xludf.DUMMYFUNCTION("""COMPUTED_VALUE"""),0.0369650484827759)</f>
        <v>0.03696504848</v>
      </c>
      <c r="N34" s="43">
        <f>IFERROR(__xludf.DUMMYFUNCTION("""COMPUTED_VALUE"""),522.155823083473)</f>
        <v>522.1558231</v>
      </c>
      <c r="O34" s="43">
        <f>IFERROR(__xludf.DUMMYFUNCTION("""COMPUTED_VALUE"""),217.730805929605)</f>
        <v>217.7308059</v>
      </c>
    </row>
    <row r="35">
      <c r="A35" s="39">
        <f>IFERROR(__xludf.DUMMYFUNCTION("""COMPUTED_VALUE"""),88.0)</f>
        <v>88</v>
      </c>
      <c r="B35" s="30">
        <f>IFERROR(__xludf.DUMMYFUNCTION("""COMPUTED_VALUE"""),0.133649697)</f>
        <v>0.133649697</v>
      </c>
      <c r="C35" s="30">
        <f>IFERROR(__xludf.DUMMYFUNCTION("""COMPUTED_VALUE"""),0.110193406)</f>
        <v>0.110193406</v>
      </c>
      <c r="D35" s="30">
        <f>IFERROR(__xludf.DUMMYFUNCTION("""COMPUTED_VALUE"""),0.139384321)</f>
        <v>0.139384321</v>
      </c>
      <c r="E35" s="30">
        <f>IFERROR(__xludf.DUMMYFUNCTION("""COMPUTED_VALUE"""),0.184778965)</f>
        <v>0.184778965</v>
      </c>
      <c r="F35" s="30">
        <f>IFERROR(__xludf.DUMMYFUNCTION("""COMPUTED_VALUE"""),0.685093617)</f>
        <v>0.685093617</v>
      </c>
      <c r="G35" s="30">
        <f>IFERROR(__xludf.DUMMYFUNCTION("""COMPUTED_VALUE"""),5.667396609)</f>
        <v>5.667396609</v>
      </c>
      <c r="H35" s="39">
        <f>IFERROR(__xludf.DUMMYFUNCTION("""COMPUTED_VALUE"""),600000.0)</f>
        <v>600000</v>
      </c>
      <c r="I35" s="30">
        <f>IFERROR(__xludf.DUMMYFUNCTION("""COMPUTED_VALUE"""),1000.00093804254)</f>
        <v>1000.000938</v>
      </c>
      <c r="J35" s="30">
        <f>IFERROR(__xludf.DUMMYFUNCTION("""COMPUTED_VALUE"""),999.827145410541)</f>
        <v>999.8271454</v>
      </c>
      <c r="K35" s="40">
        <f>IFERROR(__xludf.DUMMYFUNCTION("""COMPUTED_VALUE"""),1.0)</f>
        <v>1</v>
      </c>
      <c r="L35" s="41">
        <f>IFERROR(__xludf.DUMMYFUNCTION("""COMPUTED_VALUE"""),1.98E7)</f>
        <v>19800000</v>
      </c>
      <c r="M35" s="42">
        <f>IFERROR(__xludf.DUMMYFUNCTION("""COMPUTED_VALUE"""),0.0360391693377926)</f>
        <v>0.03603916934</v>
      </c>
      <c r="N35" s="43">
        <f>IFERROR(__xludf.DUMMYFUNCTION("""COMPUTED_VALUE"""),627.991252205009)</f>
        <v>627.9912522</v>
      </c>
      <c r="O35" s="43">
        <f>IFERROR(__xludf.DUMMYFUNCTION("""COMPUTED_VALUE"""),289.746444157191)</f>
        <v>289.7464442</v>
      </c>
    </row>
    <row r="36">
      <c r="A36" s="39">
        <f>IFERROR(__xludf.DUMMYFUNCTION("""COMPUTED_VALUE"""),94.0)</f>
        <v>94</v>
      </c>
      <c r="B36" s="30">
        <f>IFERROR(__xludf.DUMMYFUNCTION("""COMPUTED_VALUE"""),0.341115386)</f>
        <v>0.341115386</v>
      </c>
      <c r="C36" s="30">
        <f>IFERROR(__xludf.DUMMYFUNCTION("""COMPUTED_VALUE"""),0.109310006)</f>
        <v>0.109310006</v>
      </c>
      <c r="D36" s="30">
        <f>IFERROR(__xludf.DUMMYFUNCTION("""COMPUTED_VALUE"""),0.404779251)</f>
        <v>0.404779251</v>
      </c>
      <c r="E36" s="30">
        <f>IFERROR(__xludf.DUMMYFUNCTION("""COMPUTED_VALUE"""),1.265734481)</f>
        <v>1.265734481</v>
      </c>
      <c r="F36" s="30">
        <f>IFERROR(__xludf.DUMMYFUNCTION("""COMPUTED_VALUE"""),6.043262678)</f>
        <v>6.043262678</v>
      </c>
      <c r="G36" s="30">
        <f>IFERROR(__xludf.DUMMYFUNCTION("""COMPUTED_VALUE"""),27.453902833)</f>
        <v>27.45390283</v>
      </c>
      <c r="H36" s="39">
        <f>IFERROR(__xludf.DUMMYFUNCTION("""COMPUTED_VALUE"""),599999.0)</f>
        <v>599999</v>
      </c>
      <c r="I36" s="30">
        <f>IFERROR(__xludf.DUMMYFUNCTION("""COMPUTED_VALUE"""),1000.00084615879)</f>
        <v>1000.000846</v>
      </c>
      <c r="J36" s="30">
        <f>IFERROR(__xludf.DUMMYFUNCTION("""COMPUTED_VALUE"""),999.153122124257)</f>
        <v>999.1531221</v>
      </c>
      <c r="K36" s="40">
        <f>IFERROR(__xludf.DUMMYFUNCTION("""COMPUTED_VALUE"""),0.999331665552776)</f>
        <v>0.9993316656</v>
      </c>
      <c r="L36" s="41">
        <f>IFERROR(__xludf.DUMMYFUNCTION("""COMPUTED_VALUE"""),1.9786734E7)</f>
        <v>19786734</v>
      </c>
      <c r="M36" s="42">
        <f>IFERROR(__xludf.DUMMYFUNCTION("""COMPUTED_VALUE"""),0.0382121810509744)</f>
        <v>0.03821218105</v>
      </c>
      <c r="N36" s="43">
        <f>IFERROR(__xludf.DUMMYFUNCTION("""COMPUTED_VALUE"""),669.02207986948)</f>
        <v>669.0220799</v>
      </c>
      <c r="O36" s="43">
        <f>IFERROR(__xludf.DUMMYFUNCTION("""COMPUTED_VALUE"""),170.389812469482)</f>
        <v>170.3898125</v>
      </c>
    </row>
    <row r="37">
      <c r="A37" s="44"/>
      <c r="B37" s="45"/>
      <c r="C37" s="45"/>
      <c r="D37" s="45"/>
      <c r="E37" s="45"/>
      <c r="F37" s="45"/>
      <c r="G37" s="45"/>
      <c r="H37" s="44"/>
      <c r="I37" s="45"/>
      <c r="J37" s="45"/>
      <c r="K37" s="46"/>
      <c r="L37" s="47"/>
      <c r="M37" s="48"/>
      <c r="N37" s="49"/>
      <c r="O37" s="49"/>
    </row>
    <row r="38">
      <c r="A38" s="44"/>
      <c r="B38" s="45"/>
      <c r="C38" s="45"/>
      <c r="D38" s="45"/>
      <c r="E38" s="45"/>
      <c r="F38" s="45"/>
      <c r="G38" s="45"/>
      <c r="H38" s="44"/>
      <c r="I38" s="45"/>
      <c r="J38" s="45"/>
      <c r="K38" s="46"/>
      <c r="L38" s="47"/>
      <c r="M38" s="48"/>
      <c r="N38" s="49"/>
      <c r="O38" s="49"/>
    </row>
    <row r="39">
      <c r="A39" s="1" t="s">
        <v>0</v>
      </c>
      <c r="B39" s="2" t="s">
        <v>45</v>
      </c>
      <c r="C39" s="2" t="s">
        <v>2</v>
      </c>
      <c r="D39" s="2" t="s">
        <v>3</v>
      </c>
      <c r="E39" s="2" t="s">
        <v>4</v>
      </c>
      <c r="F39" s="2" t="s">
        <v>5</v>
      </c>
      <c r="G39" s="2" t="s">
        <v>6</v>
      </c>
      <c r="H39" s="3" t="s">
        <v>7</v>
      </c>
      <c r="I39" s="2" t="s">
        <v>8</v>
      </c>
      <c r="J39" s="2" t="s">
        <v>9</v>
      </c>
      <c r="K39" s="1" t="s">
        <v>10</v>
      </c>
      <c r="L39" s="4" t="s">
        <v>11</v>
      </c>
      <c r="M39" s="5" t="s">
        <v>12</v>
      </c>
      <c r="N39" s="5" t="s">
        <v>13</v>
      </c>
      <c r="O39" s="5" t="s">
        <v>14</v>
      </c>
    </row>
    <row r="40">
      <c r="A40" s="38">
        <f>IFERROR(__xludf.DUMMYFUNCTION("FILTER(Dados!A55:O104, Dados!P55:P104 = ""OK"")
"),5.0)</f>
        <v>5</v>
      </c>
      <c r="B40" s="30">
        <f>IFERROR(__xludf.DUMMYFUNCTION("""COMPUTED_VALUE"""),0.220982588)</f>
        <v>0.220982588</v>
      </c>
      <c r="C40" s="30">
        <f>IFERROR(__xludf.DUMMYFUNCTION("""COMPUTED_VALUE"""),0.112519123)</f>
        <v>0.112519123</v>
      </c>
      <c r="D40" s="30">
        <f>IFERROR(__xludf.DUMMYFUNCTION("""COMPUTED_VALUE"""),0.194697575)</f>
        <v>0.194697575</v>
      </c>
      <c r="E40" s="30">
        <f>IFERROR(__xludf.DUMMYFUNCTION("""COMPUTED_VALUE"""),0.493880146)</f>
        <v>0.493880146</v>
      </c>
      <c r="F40" s="30">
        <f>IFERROR(__xludf.DUMMYFUNCTION("""COMPUTED_VALUE"""),2.971224464)</f>
        <v>2.971224464</v>
      </c>
      <c r="G40" s="30">
        <f>IFERROR(__xludf.DUMMYFUNCTION("""COMPUTED_VALUE"""),13.632439182)</f>
        <v>13.63243918</v>
      </c>
      <c r="H40" s="39">
        <f>IFERROR(__xludf.DUMMYFUNCTION("""COMPUTED_VALUE"""),600000.0)</f>
        <v>600000</v>
      </c>
      <c r="I40" s="30">
        <f>IFERROR(__xludf.DUMMYFUNCTION("""COMPUTED_VALUE"""),1000.00156998079)</f>
        <v>1000.00157</v>
      </c>
      <c r="J40" s="30">
        <f>IFERROR(__xludf.DUMMYFUNCTION("""COMPUTED_VALUE"""),999.760567344809)</f>
        <v>999.7605673</v>
      </c>
      <c r="K40" s="40">
        <f>IFERROR(__xludf.DUMMYFUNCTION("""COMPUTED_VALUE"""),0.999941666666666)</f>
        <v>0.9999416667</v>
      </c>
      <c r="L40" s="41">
        <f>IFERROR(__xludf.DUMMYFUNCTION("""COMPUTED_VALUE"""),2.2198705E7)</f>
        <v>22198705</v>
      </c>
      <c r="M40" s="50">
        <f>IFERROR(__xludf.DUMMYFUNCTION("""COMPUTED_VALUE"""),0.08183129906)</f>
        <v>0.08183129906</v>
      </c>
      <c r="N40" s="51">
        <f>IFERROR(__xludf.DUMMYFUNCTION("""COMPUTED_VALUE"""),668.99371996349)</f>
        <v>668.99372</v>
      </c>
      <c r="O40" s="52">
        <f>IFERROR(__xludf.DUMMYFUNCTION("""COMPUTED_VALUE"""),311.778777664256)</f>
        <v>311.7787777</v>
      </c>
    </row>
    <row r="41">
      <c r="A41" s="38">
        <f>IFERROR(__xludf.DUMMYFUNCTION("""COMPUTED_VALUE"""),9.0)</f>
        <v>9</v>
      </c>
      <c r="B41" s="30">
        <f>IFERROR(__xludf.DUMMYFUNCTION("""COMPUTED_VALUE"""),0.115321554)</f>
        <v>0.115321554</v>
      </c>
      <c r="C41" s="30">
        <f>IFERROR(__xludf.DUMMYFUNCTION("""COMPUTED_VALUE"""),0.110955175)</f>
        <v>0.110955175</v>
      </c>
      <c r="D41" s="30">
        <f>IFERROR(__xludf.DUMMYFUNCTION("""COMPUTED_VALUE"""),0.126204807)</f>
        <v>0.126204807</v>
      </c>
      <c r="E41" s="30">
        <f>IFERROR(__xludf.DUMMYFUNCTION("""COMPUTED_VALUE"""),0.139684337)</f>
        <v>0.139684337</v>
      </c>
      <c r="F41" s="30">
        <f>IFERROR(__xludf.DUMMYFUNCTION("""COMPUTED_VALUE"""),0.185329909)</f>
        <v>0.185329909</v>
      </c>
      <c r="G41" s="30">
        <f>IFERROR(__xludf.DUMMYFUNCTION("""COMPUTED_VALUE"""),0.361551841)</f>
        <v>0.361551841</v>
      </c>
      <c r="H41" s="39">
        <f>IFERROR(__xludf.DUMMYFUNCTION("""COMPUTED_VALUE"""),600000.0)</f>
        <v>600000</v>
      </c>
      <c r="I41" s="30">
        <f>IFERROR(__xludf.DUMMYFUNCTION("""COMPUTED_VALUE"""),1000.00161677261)</f>
        <v>1000.001617</v>
      </c>
      <c r="J41" s="30">
        <f>IFERROR(__xludf.DUMMYFUNCTION("""COMPUTED_VALUE"""),999.677628535207)</f>
        <v>999.6776285</v>
      </c>
      <c r="K41" s="40">
        <f>IFERROR(__xludf.DUMMYFUNCTION("""COMPUTED_VALUE"""),1.0)</f>
        <v>1</v>
      </c>
      <c r="L41" s="41">
        <f>IFERROR(__xludf.DUMMYFUNCTION("""COMPUTED_VALUE"""),2.22E7)</f>
        <v>22200000</v>
      </c>
      <c r="M41" s="50">
        <f>IFERROR(__xludf.DUMMYFUNCTION("""COMPUTED_VALUE"""),0.08391430482)</f>
        <v>0.08391430482</v>
      </c>
      <c r="N41" s="51">
        <f>IFERROR(__xludf.DUMMYFUNCTION("""COMPUTED_VALUE"""),260.156704917295)</f>
        <v>260.1567049</v>
      </c>
      <c r="O41" s="52">
        <f>IFERROR(__xludf.DUMMYFUNCTION("""COMPUTED_VALUE"""),60.2288370409447)</f>
        <v>60.22883704</v>
      </c>
    </row>
    <row r="42">
      <c r="A42" s="38">
        <f>IFERROR(__xludf.DUMMYFUNCTION("""COMPUTED_VALUE"""),11.0)</f>
        <v>11</v>
      </c>
      <c r="B42" s="30">
        <f>IFERROR(__xludf.DUMMYFUNCTION("""COMPUTED_VALUE"""),0.115404782)</f>
        <v>0.115404782</v>
      </c>
      <c r="C42" s="30">
        <f>IFERROR(__xludf.DUMMYFUNCTION("""COMPUTED_VALUE"""),0.110516759)</f>
        <v>0.110516759</v>
      </c>
      <c r="D42" s="30">
        <f>IFERROR(__xludf.DUMMYFUNCTION("""COMPUTED_VALUE"""),0.124791396)</f>
        <v>0.124791396</v>
      </c>
      <c r="E42" s="30">
        <f>IFERROR(__xludf.DUMMYFUNCTION("""COMPUTED_VALUE"""),0.138278628)</f>
        <v>0.138278628</v>
      </c>
      <c r="F42" s="30">
        <f>IFERROR(__xludf.DUMMYFUNCTION("""COMPUTED_VALUE"""),0.207562867)</f>
        <v>0.207562867</v>
      </c>
      <c r="G42" s="30">
        <f>IFERROR(__xludf.DUMMYFUNCTION("""COMPUTED_VALUE"""),0.631249611)</f>
        <v>0.631249611</v>
      </c>
      <c r="H42" s="39">
        <f>IFERROR(__xludf.DUMMYFUNCTION("""COMPUTED_VALUE"""),600000.0)</f>
        <v>600000</v>
      </c>
      <c r="I42" s="30">
        <f>IFERROR(__xludf.DUMMYFUNCTION("""COMPUTED_VALUE"""),1000.00125692991)</f>
        <v>1000.001257</v>
      </c>
      <c r="J42" s="30">
        <f>IFERROR(__xludf.DUMMYFUNCTION("""COMPUTED_VALUE"""),999.819076682503)</f>
        <v>999.8190767</v>
      </c>
      <c r="K42" s="40">
        <f>IFERROR(__xludf.DUMMYFUNCTION("""COMPUTED_VALUE"""),1.0)</f>
        <v>1</v>
      </c>
      <c r="L42" s="41">
        <f>IFERROR(__xludf.DUMMYFUNCTION("""COMPUTED_VALUE"""),2.22E7)</f>
        <v>22200000</v>
      </c>
      <c r="M42" s="50">
        <f>IFERROR(__xludf.DUMMYFUNCTION("""COMPUTED_VALUE"""),0.08337565992)</f>
        <v>0.08337565992</v>
      </c>
      <c r="N42" s="51">
        <f>IFERROR(__xludf.DUMMYFUNCTION("""COMPUTED_VALUE"""),305.097799385773)</f>
        <v>305.0977994</v>
      </c>
      <c r="O42" s="52">
        <f>IFERROR(__xludf.DUMMYFUNCTION("""COMPUTED_VALUE"""),90.4855698852539)</f>
        <v>90.48556989</v>
      </c>
    </row>
    <row r="43">
      <c r="A43" s="38">
        <f>IFERROR(__xludf.DUMMYFUNCTION("""COMPUTED_VALUE"""),13.0)</f>
        <v>13</v>
      </c>
      <c r="B43" s="30">
        <f>IFERROR(__xludf.DUMMYFUNCTION("""COMPUTED_VALUE"""),0.360625734)</f>
        <v>0.360625734</v>
      </c>
      <c r="C43" s="30">
        <f>IFERROR(__xludf.DUMMYFUNCTION("""COMPUTED_VALUE"""),0.112207544)</f>
        <v>0.112207544</v>
      </c>
      <c r="D43" s="30">
        <f>IFERROR(__xludf.DUMMYFUNCTION("""COMPUTED_VALUE"""),0.145684633)</f>
        <v>0.145684633</v>
      </c>
      <c r="E43" s="30">
        <f>IFERROR(__xludf.DUMMYFUNCTION("""COMPUTED_VALUE"""),0.216000115)</f>
        <v>0.216000115</v>
      </c>
      <c r="F43" s="30">
        <f>IFERROR(__xludf.DUMMYFUNCTION("""COMPUTED_VALUE"""),9.587224917)</f>
        <v>9.587224917</v>
      </c>
      <c r="G43" s="30">
        <f>IFERROR(__xludf.DUMMYFUNCTION("""COMPUTED_VALUE"""),64.146432026)</f>
        <v>64.14643203</v>
      </c>
      <c r="H43" s="39">
        <f>IFERROR(__xludf.DUMMYFUNCTION("""COMPUTED_VALUE"""),600000.0)</f>
        <v>600000</v>
      </c>
      <c r="I43" s="30">
        <f>IFERROR(__xludf.DUMMYFUNCTION("""COMPUTED_VALUE"""),1000.00061050203)</f>
        <v>1000.000611</v>
      </c>
      <c r="J43" s="30">
        <f>IFERROR(__xludf.DUMMYFUNCTION("""COMPUTED_VALUE"""),998.332177817257)</f>
        <v>998.3321778</v>
      </c>
      <c r="K43" s="40">
        <f>IFERROR(__xludf.DUMMYFUNCTION("""COMPUTED_VALUE"""),0.998511666666666)</f>
        <v>0.9985116667</v>
      </c>
      <c r="L43" s="41">
        <f>IFERROR(__xludf.DUMMYFUNCTION("""COMPUTED_VALUE"""),2.2166959E7)</f>
        <v>22166959</v>
      </c>
      <c r="M43" s="50">
        <f>IFERROR(__xludf.DUMMYFUNCTION("""COMPUTED_VALUE"""),0.08207711872)</f>
        <v>0.08207711872</v>
      </c>
      <c r="N43" s="51">
        <f>IFERROR(__xludf.DUMMYFUNCTION("""COMPUTED_VALUE"""),665.8175936087)</f>
        <v>665.8175936</v>
      </c>
      <c r="O43" s="52">
        <f>IFERROR(__xludf.DUMMYFUNCTION("""COMPUTED_VALUE"""),288.476155573778)</f>
        <v>288.4761556</v>
      </c>
    </row>
    <row r="44">
      <c r="A44" s="38">
        <f>IFERROR(__xludf.DUMMYFUNCTION("""COMPUTED_VALUE"""),15.0)</f>
        <v>15</v>
      </c>
      <c r="B44" s="30">
        <f>IFERROR(__xludf.DUMMYFUNCTION("""COMPUTED_VALUE"""),0.422781024)</f>
        <v>0.422781024</v>
      </c>
      <c r="C44" s="30">
        <f>IFERROR(__xludf.DUMMYFUNCTION("""COMPUTED_VALUE"""),0.11194808)</f>
        <v>0.11194808</v>
      </c>
      <c r="D44" s="30">
        <f>IFERROR(__xludf.DUMMYFUNCTION("""COMPUTED_VALUE"""),0.164256853)</f>
        <v>0.164256853</v>
      </c>
      <c r="E44" s="30">
        <f>IFERROR(__xludf.DUMMYFUNCTION("""COMPUTED_VALUE"""),1.236280076)</f>
        <v>1.236280076</v>
      </c>
      <c r="F44" s="30">
        <f>IFERROR(__xludf.DUMMYFUNCTION("""COMPUTED_VALUE"""),10.095439506)</f>
        <v>10.09543951</v>
      </c>
      <c r="G44" s="30">
        <f>IFERROR(__xludf.DUMMYFUNCTION("""COMPUTED_VALUE"""),70.001200629)</f>
        <v>70.00120063</v>
      </c>
      <c r="H44" s="39">
        <f>IFERROR(__xludf.DUMMYFUNCTION("""COMPUTED_VALUE"""),600000.0)</f>
        <v>600000</v>
      </c>
      <c r="I44" s="30">
        <f>IFERROR(__xludf.DUMMYFUNCTION("""COMPUTED_VALUE"""),1000.0018362367)</f>
        <v>1000.001836</v>
      </c>
      <c r="J44" s="30">
        <f>IFERROR(__xludf.DUMMYFUNCTION("""COMPUTED_VALUE"""),998.246729539207)</f>
        <v>998.2467295</v>
      </c>
      <c r="K44" s="40">
        <f>IFERROR(__xludf.DUMMYFUNCTION("""COMPUTED_VALUE"""),0.998426666666666)</f>
        <v>0.9984266667</v>
      </c>
      <c r="L44" s="41">
        <f>IFERROR(__xludf.DUMMYFUNCTION("""COMPUTED_VALUE"""),2.2165072E7)</f>
        <v>22165072</v>
      </c>
      <c r="M44" s="50">
        <f>IFERROR(__xludf.DUMMYFUNCTION("""COMPUTED_VALUE"""),0.08232727198)</f>
        <v>0.08232727198</v>
      </c>
      <c r="N44" s="51">
        <f>IFERROR(__xludf.DUMMYFUNCTION("""COMPUTED_VALUE"""),599.998594435408)</f>
        <v>599.9985944</v>
      </c>
      <c r="O44" s="52">
        <f>IFERROR(__xludf.DUMMYFUNCTION("""COMPUTED_VALUE"""),207.994624667697)</f>
        <v>207.9946247</v>
      </c>
    </row>
    <row r="45">
      <c r="A45" s="38">
        <f>IFERROR(__xludf.DUMMYFUNCTION("""COMPUTED_VALUE"""),19.0)</f>
        <v>19</v>
      </c>
      <c r="B45" s="30">
        <f>IFERROR(__xludf.DUMMYFUNCTION("""COMPUTED_VALUE"""),0.331935163)</f>
        <v>0.331935163</v>
      </c>
      <c r="C45" s="30">
        <f>IFERROR(__xludf.DUMMYFUNCTION("""COMPUTED_VALUE"""),0.110916465)</f>
        <v>0.110916465</v>
      </c>
      <c r="D45" s="30">
        <f>IFERROR(__xludf.DUMMYFUNCTION("""COMPUTED_VALUE"""),0.157422368)</f>
        <v>0.157422368</v>
      </c>
      <c r="E45" s="30">
        <f>IFERROR(__xludf.DUMMYFUNCTION("""COMPUTED_VALUE"""),0.97781786)</f>
        <v>0.97781786</v>
      </c>
      <c r="F45" s="30">
        <f>IFERROR(__xludf.DUMMYFUNCTION("""COMPUTED_VALUE"""),7.086547861)</f>
        <v>7.086547861</v>
      </c>
      <c r="G45" s="30">
        <f>IFERROR(__xludf.DUMMYFUNCTION("""COMPUTED_VALUE"""),27.494503813)</f>
        <v>27.49450381</v>
      </c>
      <c r="H45" s="39">
        <f>IFERROR(__xludf.DUMMYFUNCTION("""COMPUTED_VALUE"""),600000.0)</f>
        <v>600000</v>
      </c>
      <c r="I45" s="30">
        <f>IFERROR(__xludf.DUMMYFUNCTION("""COMPUTED_VALUE"""),1000.00044269686)</f>
        <v>1000.000443</v>
      </c>
      <c r="J45" s="30">
        <f>IFERROR(__xludf.DUMMYFUNCTION("""COMPUTED_VALUE"""),998.710276121671)</f>
        <v>998.7102761</v>
      </c>
      <c r="K45" s="40">
        <f>IFERROR(__xludf.DUMMYFUNCTION("""COMPUTED_VALUE"""),0.998906666666666)</f>
        <v>0.9989066667</v>
      </c>
      <c r="L45" s="41">
        <f>IFERROR(__xludf.DUMMYFUNCTION("""COMPUTED_VALUE"""),2.2175728E7)</f>
        <v>22175728</v>
      </c>
      <c r="M45" s="50">
        <f>IFERROR(__xludf.DUMMYFUNCTION("""COMPUTED_VALUE"""),0.08305882927)</f>
        <v>0.08305882927</v>
      </c>
      <c r="N45" s="51">
        <f>IFERROR(__xludf.DUMMYFUNCTION("""COMPUTED_VALUE"""),529.672848535479)</f>
        <v>529.6728485</v>
      </c>
      <c r="O45" s="52">
        <f>IFERROR(__xludf.DUMMYFUNCTION("""COMPUTED_VALUE"""),222.152491867804)</f>
        <v>222.1524919</v>
      </c>
    </row>
    <row r="46">
      <c r="A46" s="38">
        <f>IFERROR(__xludf.DUMMYFUNCTION("""COMPUTED_VALUE"""),23.0)</f>
        <v>23</v>
      </c>
      <c r="B46" s="30">
        <f>IFERROR(__xludf.DUMMYFUNCTION("""COMPUTED_VALUE"""),0.306634823)</f>
        <v>0.306634823</v>
      </c>
      <c r="C46" s="30">
        <f>IFERROR(__xludf.DUMMYFUNCTION("""COMPUTED_VALUE"""),0.112995949)</f>
        <v>0.112995949</v>
      </c>
      <c r="D46" s="30">
        <f>IFERROR(__xludf.DUMMYFUNCTION("""COMPUTED_VALUE"""),0.408805872)</f>
        <v>0.408805872</v>
      </c>
      <c r="E46" s="30">
        <f>IFERROR(__xludf.DUMMYFUNCTION("""COMPUTED_VALUE"""),1.122900078)</f>
        <v>1.122900078</v>
      </c>
      <c r="F46" s="30">
        <f>IFERROR(__xludf.DUMMYFUNCTION("""COMPUTED_VALUE"""),4.339448288)</f>
        <v>4.339448288</v>
      </c>
      <c r="G46" s="30">
        <f>IFERROR(__xludf.DUMMYFUNCTION("""COMPUTED_VALUE"""),21.637875527)</f>
        <v>21.63787553</v>
      </c>
      <c r="H46" s="39">
        <f>IFERROR(__xludf.DUMMYFUNCTION("""COMPUTED_VALUE"""),600000.0)</f>
        <v>600000</v>
      </c>
      <c r="I46" s="30">
        <f>IFERROR(__xludf.DUMMYFUNCTION("""COMPUTED_VALUE"""),1000.00121234313)</f>
        <v>1000.001212</v>
      </c>
      <c r="J46" s="30">
        <f>IFERROR(__xludf.DUMMYFUNCTION("""COMPUTED_VALUE"""),973.584926185007)</f>
        <v>973.5849262</v>
      </c>
      <c r="K46" s="40">
        <f>IFERROR(__xludf.DUMMYFUNCTION("""COMPUTED_VALUE"""),0.9998)</f>
        <v>0.9998</v>
      </c>
      <c r="L46" s="41">
        <f>IFERROR(__xludf.DUMMYFUNCTION("""COMPUTED_VALUE"""),2.219556E7)</f>
        <v>22195560</v>
      </c>
      <c r="M46" s="50">
        <f>IFERROR(__xludf.DUMMYFUNCTION("""COMPUTED_VALUE"""),0.08065072538)</f>
        <v>0.08065072538</v>
      </c>
      <c r="N46" s="51">
        <f>IFERROR(__xludf.DUMMYFUNCTION("""COMPUTED_VALUE"""),495.01736043854)</f>
        <v>495.0173604</v>
      </c>
      <c r="O46" s="52">
        <f>IFERROR(__xludf.DUMMYFUNCTION("""COMPUTED_VALUE"""),196.547639555603)</f>
        <v>196.5476396</v>
      </c>
    </row>
    <row r="47">
      <c r="A47" s="38">
        <f>IFERROR(__xludf.DUMMYFUNCTION("""COMPUTED_VALUE"""),27.0)</f>
        <v>27</v>
      </c>
      <c r="B47" s="30">
        <f>IFERROR(__xludf.DUMMYFUNCTION("""COMPUTED_VALUE"""),0.345050563)</f>
        <v>0.345050563</v>
      </c>
      <c r="C47" s="30">
        <f>IFERROR(__xludf.DUMMYFUNCTION("""COMPUTED_VALUE"""),0.112592111)</f>
        <v>0.112592111</v>
      </c>
      <c r="D47" s="30">
        <f>IFERROR(__xludf.DUMMYFUNCTION("""COMPUTED_VALUE"""),0.192842621)</f>
        <v>0.192842621</v>
      </c>
      <c r="E47" s="30">
        <f>IFERROR(__xludf.DUMMYFUNCTION("""COMPUTED_VALUE"""),1.038291142)</f>
        <v>1.038291142</v>
      </c>
      <c r="F47" s="30">
        <f>IFERROR(__xludf.DUMMYFUNCTION("""COMPUTED_VALUE"""),7.059077224)</f>
        <v>7.059077224</v>
      </c>
      <c r="G47" s="30">
        <f>IFERROR(__xludf.DUMMYFUNCTION("""COMPUTED_VALUE"""),23.214725648)</f>
        <v>23.21472565</v>
      </c>
      <c r="H47" s="39">
        <f>IFERROR(__xludf.DUMMYFUNCTION("""COMPUTED_VALUE"""),600000.0)</f>
        <v>600000</v>
      </c>
      <c r="I47" s="30">
        <f>IFERROR(__xludf.DUMMYFUNCTION("""COMPUTED_VALUE"""),999.998415842509)</f>
        <v>999.9984158</v>
      </c>
      <c r="J47" s="30">
        <f>IFERROR(__xludf.DUMMYFUNCTION("""COMPUTED_VALUE"""),993.812381824863)</f>
        <v>993.8123818</v>
      </c>
      <c r="K47" s="40">
        <f>IFERROR(__xludf.DUMMYFUNCTION("""COMPUTED_VALUE"""),0.998858333333333)</f>
        <v>0.9988583333</v>
      </c>
      <c r="L47" s="41">
        <f>IFERROR(__xludf.DUMMYFUNCTION("""COMPUTED_VALUE"""),2.2174655E7)</f>
        <v>22174655</v>
      </c>
      <c r="M47" s="50">
        <f>IFERROR(__xludf.DUMMYFUNCTION("""COMPUTED_VALUE"""),0.08156000398)</f>
        <v>0.08156000398</v>
      </c>
      <c r="N47" s="51">
        <f>IFERROR(__xludf.DUMMYFUNCTION("""COMPUTED_VALUE"""),569.274858949139)</f>
        <v>569.2748589</v>
      </c>
      <c r="O47" s="52">
        <f>IFERROR(__xludf.DUMMYFUNCTION("""COMPUTED_VALUE"""),270.605612582572)</f>
        <v>270.6056126</v>
      </c>
    </row>
    <row r="48">
      <c r="A48" s="38">
        <f>IFERROR(__xludf.DUMMYFUNCTION("""COMPUTED_VALUE"""),29.0)</f>
        <v>29</v>
      </c>
      <c r="B48" s="30">
        <f>IFERROR(__xludf.DUMMYFUNCTION("""COMPUTED_VALUE"""),0.133690844)</f>
        <v>0.133690844</v>
      </c>
      <c r="C48" s="30">
        <f>IFERROR(__xludf.DUMMYFUNCTION("""COMPUTED_VALUE"""),0.111353489)</f>
        <v>0.111353489</v>
      </c>
      <c r="D48" s="30">
        <f>IFERROR(__xludf.DUMMYFUNCTION("""COMPUTED_VALUE"""),0.159478282)</f>
        <v>0.159478282</v>
      </c>
      <c r="E48" s="30">
        <f>IFERROR(__xludf.DUMMYFUNCTION("""COMPUTED_VALUE"""),0.251265228)</f>
        <v>0.251265228</v>
      </c>
      <c r="F48" s="30">
        <f>IFERROR(__xludf.DUMMYFUNCTION("""COMPUTED_VALUE"""),0.524133181)</f>
        <v>0.524133181</v>
      </c>
      <c r="G48" s="30">
        <f>IFERROR(__xludf.DUMMYFUNCTION("""COMPUTED_VALUE"""),2.326143737)</f>
        <v>2.326143737</v>
      </c>
      <c r="H48" s="39">
        <f>IFERROR(__xludf.DUMMYFUNCTION("""COMPUTED_VALUE"""),600000.0)</f>
        <v>600000</v>
      </c>
      <c r="I48" s="30">
        <f>IFERROR(__xludf.DUMMYFUNCTION("""COMPUTED_VALUE"""),1000.00169267119)</f>
        <v>1000.001693</v>
      </c>
      <c r="J48" s="30">
        <f>IFERROR(__xludf.DUMMYFUNCTION("""COMPUTED_VALUE"""),999.289760373854)</f>
        <v>999.2897604</v>
      </c>
      <c r="K48" s="40">
        <f>IFERROR(__xludf.DUMMYFUNCTION("""COMPUTED_VALUE"""),1.0)</f>
        <v>1</v>
      </c>
      <c r="L48" s="41">
        <f>IFERROR(__xludf.DUMMYFUNCTION("""COMPUTED_VALUE"""),2.22E7)</f>
        <v>22200000</v>
      </c>
      <c r="M48" s="50">
        <f>IFERROR(__xludf.DUMMYFUNCTION("""COMPUTED_VALUE"""),0.08327883529)</f>
        <v>0.08327883529</v>
      </c>
      <c r="N48" s="51">
        <f>IFERROR(__xludf.DUMMYFUNCTION("""COMPUTED_VALUE"""),505.296347958236)</f>
        <v>505.296348</v>
      </c>
      <c r="O48" s="52">
        <f>IFERROR(__xludf.DUMMYFUNCTION("""COMPUTED_VALUE"""),218.599093244822)</f>
        <v>218.5990932</v>
      </c>
    </row>
    <row r="49">
      <c r="A49" s="38">
        <f>IFERROR(__xludf.DUMMYFUNCTION("""COMPUTED_VALUE"""),33.0)</f>
        <v>33</v>
      </c>
      <c r="B49" s="30">
        <f>IFERROR(__xludf.DUMMYFUNCTION("""COMPUTED_VALUE"""),0.118205146)</f>
        <v>0.118205146</v>
      </c>
      <c r="C49" s="30">
        <f>IFERROR(__xludf.DUMMYFUNCTION("""COMPUTED_VALUE"""),0.111274632)</f>
        <v>0.111274632</v>
      </c>
      <c r="D49" s="30">
        <f>IFERROR(__xludf.DUMMYFUNCTION("""COMPUTED_VALUE"""),0.128728536)</f>
        <v>0.128728536</v>
      </c>
      <c r="E49" s="30">
        <f>IFERROR(__xludf.DUMMYFUNCTION("""COMPUTED_VALUE"""),0.141316828)</f>
        <v>0.141316828</v>
      </c>
      <c r="F49" s="30">
        <f>IFERROR(__xludf.DUMMYFUNCTION("""COMPUTED_VALUE"""),0.201134168)</f>
        <v>0.201134168</v>
      </c>
      <c r="G49" s="30">
        <f>IFERROR(__xludf.DUMMYFUNCTION("""COMPUTED_VALUE"""),3.929881751)</f>
        <v>3.929881751</v>
      </c>
      <c r="H49" s="39">
        <f>IFERROR(__xludf.DUMMYFUNCTION("""COMPUTED_VALUE"""),600000.0)</f>
        <v>600000</v>
      </c>
      <c r="I49" s="30">
        <f>IFERROR(__xludf.DUMMYFUNCTION("""COMPUTED_VALUE"""),1000.00184943508)</f>
        <v>1000.001849</v>
      </c>
      <c r="J49" s="30">
        <f>IFERROR(__xludf.DUMMYFUNCTION("""COMPUTED_VALUE"""),999.807885361792)</f>
        <v>999.8078854</v>
      </c>
      <c r="K49" s="40">
        <f>IFERROR(__xludf.DUMMYFUNCTION("""COMPUTED_VALUE"""),1.0)</f>
        <v>1</v>
      </c>
      <c r="L49" s="41">
        <f>IFERROR(__xludf.DUMMYFUNCTION("""COMPUTED_VALUE"""),2.22E7)</f>
        <v>22200000</v>
      </c>
      <c r="M49" s="50">
        <f>IFERROR(__xludf.DUMMYFUNCTION("""COMPUTED_VALUE"""),0.08320111067)</f>
        <v>0.08320111067</v>
      </c>
      <c r="N49" s="51">
        <f>IFERROR(__xludf.DUMMYFUNCTION("""COMPUTED_VALUE"""),334.55157209054)</f>
        <v>334.5515721</v>
      </c>
      <c r="O49" s="52">
        <f>IFERROR(__xludf.DUMMYFUNCTION("""COMPUTED_VALUE"""),95.6569037326546)</f>
        <v>95.65690373</v>
      </c>
    </row>
    <row r="50">
      <c r="A50" s="38">
        <f>IFERROR(__xludf.DUMMYFUNCTION("""COMPUTED_VALUE"""),35.0)</f>
        <v>35</v>
      </c>
      <c r="B50" s="30">
        <f>IFERROR(__xludf.DUMMYFUNCTION("""COMPUTED_VALUE"""),0.118060347)</f>
        <v>0.118060347</v>
      </c>
      <c r="C50" s="30">
        <f>IFERROR(__xludf.DUMMYFUNCTION("""COMPUTED_VALUE"""),0.110706976)</f>
        <v>0.110706976</v>
      </c>
      <c r="D50" s="30">
        <f>IFERROR(__xludf.DUMMYFUNCTION("""COMPUTED_VALUE"""),0.131698739)</f>
        <v>0.131698739</v>
      </c>
      <c r="E50" s="30">
        <f>IFERROR(__xludf.DUMMYFUNCTION("""COMPUTED_VALUE"""),0.149963273)</f>
        <v>0.149963273</v>
      </c>
      <c r="F50" s="30">
        <f>IFERROR(__xludf.DUMMYFUNCTION("""COMPUTED_VALUE"""),0.235850553)</f>
        <v>0.235850553</v>
      </c>
      <c r="G50" s="30">
        <f>IFERROR(__xludf.DUMMYFUNCTION("""COMPUTED_VALUE"""),1.391571684)</f>
        <v>1.391571684</v>
      </c>
      <c r="H50" s="39">
        <f>IFERROR(__xludf.DUMMYFUNCTION("""COMPUTED_VALUE"""),600000.0)</f>
        <v>600000</v>
      </c>
      <c r="I50" s="30">
        <f>IFERROR(__xludf.DUMMYFUNCTION("""COMPUTED_VALUE"""),1000.00162033929)</f>
        <v>1000.00162</v>
      </c>
      <c r="J50" s="30">
        <f>IFERROR(__xludf.DUMMYFUNCTION("""COMPUTED_VALUE"""),999.813934533467)</f>
        <v>999.8139345</v>
      </c>
      <c r="K50" s="40">
        <f>IFERROR(__xludf.DUMMYFUNCTION("""COMPUTED_VALUE"""),1.0)</f>
        <v>1</v>
      </c>
      <c r="L50" s="41">
        <f>IFERROR(__xludf.DUMMYFUNCTION("""COMPUTED_VALUE"""),2.22E7)</f>
        <v>22200000</v>
      </c>
      <c r="M50" s="50">
        <f>IFERROR(__xludf.DUMMYFUNCTION("""COMPUTED_VALUE"""),0.08329927392)</f>
        <v>0.08329927392</v>
      </c>
      <c r="N50" s="51">
        <f>IFERROR(__xludf.DUMMYFUNCTION("""COMPUTED_VALUE"""),351.925867192981)</f>
        <v>351.9258672</v>
      </c>
      <c r="O50" s="52">
        <f>IFERROR(__xludf.DUMMYFUNCTION("""COMPUTED_VALUE"""),124.826991129346)</f>
        <v>124.8269911</v>
      </c>
    </row>
    <row r="51">
      <c r="A51" s="38">
        <f>IFERROR(__xludf.DUMMYFUNCTION("""COMPUTED_VALUE"""),37.0)</f>
        <v>37</v>
      </c>
      <c r="B51" s="30">
        <f>IFERROR(__xludf.DUMMYFUNCTION("""COMPUTED_VALUE"""),0.114995326)</f>
        <v>0.114995326</v>
      </c>
      <c r="C51" s="30">
        <f>IFERROR(__xludf.DUMMYFUNCTION("""COMPUTED_VALUE"""),0.109671071)</f>
        <v>0.109671071</v>
      </c>
      <c r="D51" s="30">
        <f>IFERROR(__xludf.DUMMYFUNCTION("""COMPUTED_VALUE"""),0.123240494)</f>
        <v>0.123240494</v>
      </c>
      <c r="E51" s="30">
        <f>IFERROR(__xludf.DUMMYFUNCTION("""COMPUTED_VALUE"""),0.137208077)</f>
        <v>0.137208077</v>
      </c>
      <c r="F51" s="30">
        <f>IFERROR(__xludf.DUMMYFUNCTION("""COMPUTED_VALUE"""),0.225693946)</f>
        <v>0.225693946</v>
      </c>
      <c r="G51" s="30">
        <f>IFERROR(__xludf.DUMMYFUNCTION("""COMPUTED_VALUE"""),1.215079208)</f>
        <v>1.215079208</v>
      </c>
      <c r="H51" s="39">
        <f>IFERROR(__xludf.DUMMYFUNCTION("""COMPUTED_VALUE"""),600000.0)</f>
        <v>600000</v>
      </c>
      <c r="I51" s="30">
        <f>IFERROR(__xludf.DUMMYFUNCTION("""COMPUTED_VALUE"""),1000.00130259503)</f>
        <v>1000.001303</v>
      </c>
      <c r="J51" s="30">
        <f>IFERROR(__xludf.DUMMYFUNCTION("""COMPUTED_VALUE"""),999.818513809882)</f>
        <v>999.8185138</v>
      </c>
      <c r="K51" s="40">
        <f>IFERROR(__xludf.DUMMYFUNCTION("""COMPUTED_VALUE"""),1.0)</f>
        <v>1</v>
      </c>
      <c r="L51" s="41">
        <f>IFERROR(__xludf.DUMMYFUNCTION("""COMPUTED_VALUE"""),2.22E7)</f>
        <v>22200000</v>
      </c>
      <c r="M51" s="50">
        <f>IFERROR(__xludf.DUMMYFUNCTION("""COMPUTED_VALUE"""),0.08304464052)</f>
        <v>0.08304464052</v>
      </c>
      <c r="N51" s="51">
        <f>IFERROR(__xludf.DUMMYFUNCTION("""COMPUTED_VALUE"""),491.060191151225)</f>
        <v>491.0601912</v>
      </c>
      <c r="O51" s="52">
        <f>IFERROR(__xludf.DUMMYFUNCTION("""COMPUTED_VALUE"""),221.442723519461)</f>
        <v>221.4427235</v>
      </c>
    </row>
    <row r="52">
      <c r="A52" s="38">
        <f>IFERROR(__xludf.DUMMYFUNCTION("""COMPUTED_VALUE"""),39.0)</f>
        <v>39</v>
      </c>
      <c r="B52" s="30">
        <f>IFERROR(__xludf.DUMMYFUNCTION("""COMPUTED_VALUE"""),0.258594851)</f>
        <v>0.258594851</v>
      </c>
      <c r="C52" s="30">
        <f>IFERROR(__xludf.DUMMYFUNCTION("""COMPUTED_VALUE"""),0.111582261)</f>
        <v>0.111582261</v>
      </c>
      <c r="D52" s="30">
        <f>IFERROR(__xludf.DUMMYFUNCTION("""COMPUTED_VALUE"""),0.150428082)</f>
        <v>0.150428082</v>
      </c>
      <c r="E52" s="30">
        <f>IFERROR(__xludf.DUMMYFUNCTION("""COMPUTED_VALUE"""),0.375314088)</f>
        <v>0.375314088</v>
      </c>
      <c r="F52" s="30">
        <f>IFERROR(__xludf.DUMMYFUNCTION("""COMPUTED_VALUE"""),4.571689638)</f>
        <v>4.571689638</v>
      </c>
      <c r="G52" s="30">
        <f>IFERROR(__xludf.DUMMYFUNCTION("""COMPUTED_VALUE"""),30.286432169)</f>
        <v>30.28643217</v>
      </c>
      <c r="H52" s="39">
        <f>IFERROR(__xludf.DUMMYFUNCTION("""COMPUTED_VALUE"""),600000.0)</f>
        <v>600000</v>
      </c>
      <c r="I52" s="30">
        <f>IFERROR(__xludf.DUMMYFUNCTION("""COMPUTED_VALUE"""),1000.00065771376)</f>
        <v>1000.000658</v>
      </c>
      <c r="J52" s="30">
        <f>IFERROR(__xludf.DUMMYFUNCTION("""COMPUTED_VALUE"""),999.018556733993)</f>
        <v>999.0185567</v>
      </c>
      <c r="K52" s="40">
        <f>IFERROR(__xludf.DUMMYFUNCTION("""COMPUTED_VALUE"""),0.999215)</f>
        <v>0.999215</v>
      </c>
      <c r="L52" s="41">
        <f>IFERROR(__xludf.DUMMYFUNCTION("""COMPUTED_VALUE"""),2.2182573E7)</f>
        <v>22182573</v>
      </c>
      <c r="M52" s="50">
        <f>IFERROR(__xludf.DUMMYFUNCTION("""COMPUTED_VALUE"""),0.08236952697)</f>
        <v>0.08236952697</v>
      </c>
      <c r="N52" s="51">
        <f>IFERROR(__xludf.DUMMYFUNCTION("""COMPUTED_VALUE"""),381.375023845112)</f>
        <v>381.3750238</v>
      </c>
      <c r="O52" s="52">
        <f>IFERROR(__xludf.DUMMYFUNCTION("""COMPUTED_VALUE"""),123.843728937421)</f>
        <v>123.8437289</v>
      </c>
    </row>
    <row r="53">
      <c r="A53" s="38">
        <f>IFERROR(__xludf.DUMMYFUNCTION("""COMPUTED_VALUE"""),41.0)</f>
        <v>41</v>
      </c>
      <c r="B53" s="30">
        <f>IFERROR(__xludf.DUMMYFUNCTION("""COMPUTED_VALUE"""),0.227253391)</f>
        <v>0.227253391</v>
      </c>
      <c r="C53" s="30">
        <f>IFERROR(__xludf.DUMMYFUNCTION("""COMPUTED_VALUE"""),0.118623473)</f>
        <v>0.118623473</v>
      </c>
      <c r="D53" s="30">
        <f>IFERROR(__xludf.DUMMYFUNCTION("""COMPUTED_VALUE"""),0.2415413)</f>
        <v>0.2415413</v>
      </c>
      <c r="E53" s="30">
        <f>IFERROR(__xludf.DUMMYFUNCTION("""COMPUTED_VALUE"""),0.658846267)</f>
        <v>0.658846267</v>
      </c>
      <c r="F53" s="30">
        <f>IFERROR(__xludf.DUMMYFUNCTION("""COMPUTED_VALUE"""),2.57820183)</f>
        <v>2.57820183</v>
      </c>
      <c r="G53" s="30">
        <f>IFERROR(__xludf.DUMMYFUNCTION("""COMPUTED_VALUE"""),12.667569712)</f>
        <v>12.66756971</v>
      </c>
      <c r="H53" s="39">
        <f>IFERROR(__xludf.DUMMYFUNCTION("""COMPUTED_VALUE"""),600000.0)</f>
        <v>600000</v>
      </c>
      <c r="I53" s="30">
        <f>IFERROR(__xludf.DUMMYFUNCTION("""COMPUTED_VALUE"""),1000.000070975)</f>
        <v>1000.000071</v>
      </c>
      <c r="J53" s="30">
        <f>IFERROR(__xludf.DUMMYFUNCTION("""COMPUTED_VALUE"""),999.762490778156)</f>
        <v>999.7624908</v>
      </c>
      <c r="K53" s="40">
        <f>IFERROR(__xludf.DUMMYFUNCTION("""COMPUTED_VALUE"""),0.999986666666666)</f>
        <v>0.9999866667</v>
      </c>
      <c r="L53" s="41">
        <f>IFERROR(__xludf.DUMMYFUNCTION("""COMPUTED_VALUE"""),2.2199704E7)</f>
        <v>22199704</v>
      </c>
      <c r="M53" s="50">
        <f>IFERROR(__xludf.DUMMYFUNCTION("""COMPUTED_VALUE"""),0.08147450503)</f>
        <v>0.08147450503</v>
      </c>
      <c r="N53" s="51">
        <f>IFERROR(__xludf.DUMMYFUNCTION("""COMPUTED_VALUE"""),612.864651255233)</f>
        <v>612.8646513</v>
      </c>
      <c r="O53" s="52">
        <f>IFERROR(__xludf.DUMMYFUNCTION("""COMPUTED_VALUE"""),261.715129292806)</f>
        <v>261.7151293</v>
      </c>
    </row>
    <row r="54">
      <c r="A54" s="38">
        <f>IFERROR(__xludf.DUMMYFUNCTION("""COMPUTED_VALUE"""),43.0)</f>
        <v>43</v>
      </c>
      <c r="B54" s="30">
        <f>IFERROR(__xludf.DUMMYFUNCTION("""COMPUTED_VALUE"""),0.125610371)</f>
        <v>0.125610371</v>
      </c>
      <c r="C54" s="30">
        <f>IFERROR(__xludf.DUMMYFUNCTION("""COMPUTED_VALUE"""),0.111338009)</f>
        <v>0.111338009</v>
      </c>
      <c r="D54" s="30">
        <f>IFERROR(__xludf.DUMMYFUNCTION("""COMPUTED_VALUE"""),0.134899203)</f>
        <v>0.134899203</v>
      </c>
      <c r="E54" s="30">
        <f>IFERROR(__xludf.DUMMYFUNCTION("""COMPUTED_VALUE"""),0.169001214)</f>
        <v>0.169001214</v>
      </c>
      <c r="F54" s="30">
        <f>IFERROR(__xludf.DUMMYFUNCTION("""COMPUTED_VALUE"""),0.440214351)</f>
        <v>0.440214351</v>
      </c>
      <c r="G54" s="30">
        <f>IFERROR(__xludf.DUMMYFUNCTION("""COMPUTED_VALUE"""),2.779403113)</f>
        <v>2.779403113</v>
      </c>
      <c r="H54" s="39">
        <f>IFERROR(__xludf.DUMMYFUNCTION("""COMPUTED_VALUE"""),600000.0)</f>
        <v>600000</v>
      </c>
      <c r="I54" s="30">
        <f>IFERROR(__xludf.DUMMYFUNCTION("""COMPUTED_VALUE"""),1000.00150148392)</f>
        <v>1000.001501</v>
      </c>
      <c r="J54" s="30">
        <f>IFERROR(__xludf.DUMMYFUNCTION("""COMPUTED_VALUE"""),999.821651642144)</f>
        <v>999.8216516</v>
      </c>
      <c r="K54" s="40">
        <f>IFERROR(__xludf.DUMMYFUNCTION("""COMPUTED_VALUE"""),1.0)</f>
        <v>1</v>
      </c>
      <c r="L54" s="41">
        <f>IFERROR(__xludf.DUMMYFUNCTION("""COMPUTED_VALUE"""),2.22E7)</f>
        <v>22200000</v>
      </c>
      <c r="M54" s="50">
        <f>IFERROR(__xludf.DUMMYFUNCTION("""COMPUTED_VALUE"""),0.08331943377)</f>
        <v>0.08331943377</v>
      </c>
      <c r="N54" s="51">
        <f>IFERROR(__xludf.DUMMYFUNCTION("""COMPUTED_VALUE"""),386.729695502713)</f>
        <v>386.7296955</v>
      </c>
      <c r="O54" s="52">
        <f>IFERROR(__xludf.DUMMYFUNCTION("""COMPUTED_VALUE"""),131.996791592604)</f>
        <v>131.9967916</v>
      </c>
    </row>
    <row r="55">
      <c r="A55" s="38">
        <f>IFERROR(__xludf.DUMMYFUNCTION("""COMPUTED_VALUE"""),47.0)</f>
        <v>47</v>
      </c>
      <c r="B55" s="30">
        <f>IFERROR(__xludf.DUMMYFUNCTION("""COMPUTED_VALUE"""),0.122222164)</f>
        <v>0.122222164</v>
      </c>
      <c r="C55" s="30">
        <f>IFERROR(__xludf.DUMMYFUNCTION("""COMPUTED_VALUE"""),0.112913493)</f>
        <v>0.112913493</v>
      </c>
      <c r="D55" s="30">
        <f>IFERROR(__xludf.DUMMYFUNCTION("""COMPUTED_VALUE"""),0.135911019)</f>
        <v>0.135911019</v>
      </c>
      <c r="E55" s="30">
        <f>IFERROR(__xludf.DUMMYFUNCTION("""COMPUTED_VALUE"""),0.149060545)</f>
        <v>0.149060545</v>
      </c>
      <c r="F55" s="30">
        <f>IFERROR(__xludf.DUMMYFUNCTION("""COMPUTED_VALUE"""),0.217325778)</f>
        <v>0.217325778</v>
      </c>
      <c r="G55" s="30">
        <f>IFERROR(__xludf.DUMMYFUNCTION("""COMPUTED_VALUE"""),4.790548256)</f>
        <v>4.790548256</v>
      </c>
      <c r="H55" s="39">
        <f>IFERROR(__xludf.DUMMYFUNCTION("""COMPUTED_VALUE"""),600000.0)</f>
        <v>600000</v>
      </c>
      <c r="I55" s="30">
        <f>IFERROR(__xludf.DUMMYFUNCTION("""COMPUTED_VALUE"""),1000.00179945323)</f>
        <v>1000.001799</v>
      </c>
      <c r="J55" s="30">
        <f>IFERROR(__xludf.DUMMYFUNCTION("""COMPUTED_VALUE"""),999.791426148793)</f>
        <v>999.7914261</v>
      </c>
      <c r="K55" s="40">
        <f>IFERROR(__xludf.DUMMYFUNCTION("""COMPUTED_VALUE"""),1.0)</f>
        <v>1</v>
      </c>
      <c r="L55" s="41">
        <f>IFERROR(__xludf.DUMMYFUNCTION("""COMPUTED_VALUE"""),2.22E7)</f>
        <v>22200000</v>
      </c>
      <c r="M55" s="50">
        <f>IFERROR(__xludf.DUMMYFUNCTION("""COMPUTED_VALUE"""),0.08343702054)</f>
        <v>0.08343702054</v>
      </c>
      <c r="N55" s="51">
        <f>IFERROR(__xludf.DUMMYFUNCTION("""COMPUTED_VALUE"""),294.697236057835)</f>
        <v>294.6972361</v>
      </c>
      <c r="O55" s="52">
        <f>IFERROR(__xludf.DUMMYFUNCTION("""COMPUTED_VALUE"""),85.4895000371066)</f>
        <v>85.48950004</v>
      </c>
    </row>
    <row r="56">
      <c r="A56" s="38">
        <f>IFERROR(__xludf.DUMMYFUNCTION("""COMPUTED_VALUE"""),49.0)</f>
        <v>49</v>
      </c>
      <c r="B56" s="30">
        <f>IFERROR(__xludf.DUMMYFUNCTION("""COMPUTED_VALUE"""),0.227810772)</f>
        <v>0.227810772</v>
      </c>
      <c r="C56" s="30">
        <f>IFERROR(__xludf.DUMMYFUNCTION("""COMPUTED_VALUE"""),0.113859281)</f>
        <v>0.113859281</v>
      </c>
      <c r="D56" s="30">
        <f>IFERROR(__xludf.DUMMYFUNCTION("""COMPUTED_VALUE"""),0.183325858)</f>
        <v>0.183325858</v>
      </c>
      <c r="E56" s="30">
        <f>IFERROR(__xludf.DUMMYFUNCTION("""COMPUTED_VALUE"""),0.442809877)</f>
        <v>0.442809877</v>
      </c>
      <c r="F56" s="30">
        <f>IFERROR(__xludf.DUMMYFUNCTION("""COMPUTED_VALUE"""),3.034880734)</f>
        <v>3.034880734</v>
      </c>
      <c r="G56" s="30">
        <f>IFERROR(__xludf.DUMMYFUNCTION("""COMPUTED_VALUE"""),20.129397614)</f>
        <v>20.12939761</v>
      </c>
      <c r="H56" s="39">
        <f>IFERROR(__xludf.DUMMYFUNCTION("""COMPUTED_VALUE"""),600000.0)</f>
        <v>600000</v>
      </c>
      <c r="I56" s="30">
        <f>IFERROR(__xludf.DUMMYFUNCTION("""COMPUTED_VALUE"""),1000.00015359669)</f>
        <v>1000.000154</v>
      </c>
      <c r="J56" s="30">
        <f>IFERROR(__xludf.DUMMYFUNCTION("""COMPUTED_VALUE"""),999.80771421878)</f>
        <v>999.8077142</v>
      </c>
      <c r="K56" s="40">
        <f>IFERROR(__xludf.DUMMYFUNCTION("""COMPUTED_VALUE"""),0.999993333333333)</f>
        <v>0.9999933333</v>
      </c>
      <c r="L56" s="41">
        <f>IFERROR(__xludf.DUMMYFUNCTION("""COMPUTED_VALUE"""),2.2199852E7)</f>
        <v>22199852</v>
      </c>
      <c r="M56" s="50">
        <f>IFERROR(__xludf.DUMMYFUNCTION("""COMPUTED_VALUE"""),0.08260473916)</f>
        <v>0.08260473916</v>
      </c>
      <c r="N56" s="51">
        <f>IFERROR(__xludf.DUMMYFUNCTION("""COMPUTED_VALUE"""),512.089382057516)</f>
        <v>512.0893821</v>
      </c>
      <c r="O56" s="52">
        <f>IFERROR(__xludf.DUMMYFUNCTION("""COMPUTED_VALUE"""),216.02497782234)</f>
        <v>216.0249778</v>
      </c>
    </row>
    <row r="57">
      <c r="A57" s="38">
        <f>IFERROR(__xludf.DUMMYFUNCTION("""COMPUTED_VALUE"""),51.0)</f>
        <v>51</v>
      </c>
      <c r="B57" s="30">
        <f>IFERROR(__xludf.DUMMYFUNCTION("""COMPUTED_VALUE"""),0.182008918)</f>
        <v>0.182008918</v>
      </c>
      <c r="C57" s="30">
        <f>IFERROR(__xludf.DUMMYFUNCTION("""COMPUTED_VALUE"""),0.116683018)</f>
        <v>0.116683018</v>
      </c>
      <c r="D57" s="30">
        <f>IFERROR(__xludf.DUMMYFUNCTION("""COMPUTED_VALUE"""),0.169927603)</f>
        <v>0.169927603</v>
      </c>
      <c r="E57" s="30">
        <f>IFERROR(__xludf.DUMMYFUNCTION("""COMPUTED_VALUE"""),0.394925489)</f>
        <v>0.394925489</v>
      </c>
      <c r="F57" s="30">
        <f>IFERROR(__xludf.DUMMYFUNCTION("""COMPUTED_VALUE"""),1.815288504)</f>
        <v>1.815288504</v>
      </c>
      <c r="G57" s="30">
        <f>IFERROR(__xludf.DUMMYFUNCTION("""COMPUTED_VALUE"""),7.764686648)</f>
        <v>7.764686648</v>
      </c>
      <c r="H57" s="39">
        <f>IFERROR(__xludf.DUMMYFUNCTION("""COMPUTED_VALUE"""),600000.0)</f>
        <v>600000</v>
      </c>
      <c r="I57" s="30">
        <f>IFERROR(__xludf.DUMMYFUNCTION("""COMPUTED_VALUE"""),1000.00137231188)</f>
        <v>1000.001372</v>
      </c>
      <c r="J57" s="30">
        <f>IFERROR(__xludf.DUMMYFUNCTION("""COMPUTED_VALUE"""),999.770838281773)</f>
        <v>999.7708383</v>
      </c>
      <c r="K57" s="40">
        <f>IFERROR(__xludf.DUMMYFUNCTION("""COMPUTED_VALUE"""),0.999998333333333)</f>
        <v>0.9999983333</v>
      </c>
      <c r="L57" s="41">
        <f>IFERROR(__xludf.DUMMYFUNCTION("""COMPUTED_VALUE"""),2.2199963E7)</f>
        <v>22199963</v>
      </c>
      <c r="M57" s="50">
        <f>IFERROR(__xludf.DUMMYFUNCTION("""COMPUTED_VALUE"""),0.08212157569)</f>
        <v>0.08212157569</v>
      </c>
      <c r="N57" s="51">
        <f>IFERROR(__xludf.DUMMYFUNCTION("""COMPUTED_VALUE"""),447.297600547608)</f>
        <v>447.2976005</v>
      </c>
      <c r="O57" s="52">
        <f>IFERROR(__xludf.DUMMYFUNCTION("""COMPUTED_VALUE"""),172.359722296396)</f>
        <v>172.3597223</v>
      </c>
    </row>
    <row r="58">
      <c r="A58" s="38">
        <f>IFERROR(__xludf.DUMMYFUNCTION("""COMPUTED_VALUE"""),53.0)</f>
        <v>53</v>
      </c>
      <c r="B58" s="30">
        <f>IFERROR(__xludf.DUMMYFUNCTION("""COMPUTED_VALUE"""),0.212795509)</f>
        <v>0.212795509</v>
      </c>
      <c r="C58" s="30">
        <f>IFERROR(__xludf.DUMMYFUNCTION("""COMPUTED_VALUE"""),0.113736777)</f>
        <v>0.113736777</v>
      </c>
      <c r="D58" s="30">
        <f>IFERROR(__xludf.DUMMYFUNCTION("""COMPUTED_VALUE"""),0.172560084)</f>
        <v>0.172560084</v>
      </c>
      <c r="E58" s="30">
        <f>IFERROR(__xludf.DUMMYFUNCTION("""COMPUTED_VALUE"""),0.442309741)</f>
        <v>0.442309741</v>
      </c>
      <c r="F58" s="30">
        <f>IFERROR(__xludf.DUMMYFUNCTION("""COMPUTED_VALUE"""),2.919121087)</f>
        <v>2.919121087</v>
      </c>
      <c r="G58" s="30">
        <f>IFERROR(__xludf.DUMMYFUNCTION("""COMPUTED_VALUE"""),16.791410572)</f>
        <v>16.79141057</v>
      </c>
      <c r="H58" s="39">
        <f>IFERROR(__xludf.DUMMYFUNCTION("""COMPUTED_VALUE"""),599999.0)</f>
        <v>599999</v>
      </c>
      <c r="I58" s="30">
        <f>IFERROR(__xludf.DUMMYFUNCTION("""COMPUTED_VALUE"""),1000.00010228184)</f>
        <v>1000.000102</v>
      </c>
      <c r="J58" s="30">
        <f>IFERROR(__xludf.DUMMYFUNCTION("""COMPUTED_VALUE"""),999.779128116276)</f>
        <v>999.7791281</v>
      </c>
      <c r="K58" s="40">
        <f>IFERROR(__xludf.DUMMYFUNCTION("""COMPUTED_VALUE"""),0.999966666611111)</f>
        <v>0.9999666666</v>
      </c>
      <c r="L58" s="41">
        <f>IFERROR(__xludf.DUMMYFUNCTION("""COMPUTED_VALUE"""),2.2199223E7)</f>
        <v>22199223</v>
      </c>
      <c r="M58" s="50">
        <f>IFERROR(__xludf.DUMMYFUNCTION("""COMPUTED_VALUE"""),0.0835421911)</f>
        <v>0.0835421911</v>
      </c>
      <c r="N58" s="51">
        <f>IFERROR(__xludf.DUMMYFUNCTION("""COMPUTED_VALUE"""),472.383469158472)</f>
        <v>472.3834692</v>
      </c>
      <c r="O58" s="52">
        <f>IFERROR(__xludf.DUMMYFUNCTION("""COMPUTED_VALUE"""),154.385442331919)</f>
        <v>154.3854423</v>
      </c>
    </row>
    <row r="59">
      <c r="A59" s="38">
        <f>IFERROR(__xludf.DUMMYFUNCTION("""COMPUTED_VALUE"""),55.0)</f>
        <v>55</v>
      </c>
      <c r="B59" s="30">
        <f>IFERROR(__xludf.DUMMYFUNCTION("""COMPUTED_VALUE"""),0.115050391)</f>
        <v>0.115050391</v>
      </c>
      <c r="C59" s="30">
        <f>IFERROR(__xludf.DUMMYFUNCTION("""COMPUTED_VALUE"""),0.110594718)</f>
        <v>0.110594718</v>
      </c>
      <c r="D59" s="30">
        <f>IFERROR(__xludf.DUMMYFUNCTION("""COMPUTED_VALUE"""),0.127249359)</f>
        <v>0.127249359</v>
      </c>
      <c r="E59" s="30">
        <f>IFERROR(__xludf.DUMMYFUNCTION("""COMPUTED_VALUE"""),0.139255123)</f>
        <v>0.139255123</v>
      </c>
      <c r="F59" s="30">
        <f>IFERROR(__xludf.DUMMYFUNCTION("""COMPUTED_VALUE"""),0.175999426)</f>
        <v>0.175999426</v>
      </c>
      <c r="G59" s="30">
        <f>IFERROR(__xludf.DUMMYFUNCTION("""COMPUTED_VALUE"""),0.446330499)</f>
        <v>0.446330499</v>
      </c>
      <c r="H59" s="39">
        <f>IFERROR(__xludf.DUMMYFUNCTION("""COMPUTED_VALUE"""),600000.0)</f>
        <v>600000</v>
      </c>
      <c r="I59" s="30">
        <f>IFERROR(__xludf.DUMMYFUNCTION("""COMPUTED_VALUE"""),1000.0012257965)</f>
        <v>1000.001226</v>
      </c>
      <c r="J59" s="30">
        <f>IFERROR(__xludf.DUMMYFUNCTION("""COMPUTED_VALUE"""),999.821861062468)</f>
        <v>999.8218611</v>
      </c>
      <c r="K59" s="40">
        <f>IFERROR(__xludf.DUMMYFUNCTION("""COMPUTED_VALUE"""),1.0)</f>
        <v>1</v>
      </c>
      <c r="L59" s="41">
        <f>IFERROR(__xludf.DUMMYFUNCTION("""COMPUTED_VALUE"""),2.22E7)</f>
        <v>22200000</v>
      </c>
      <c r="M59" s="50">
        <f>IFERROR(__xludf.DUMMYFUNCTION("""COMPUTED_VALUE"""),0.08327974113)</f>
        <v>0.08327974113</v>
      </c>
      <c r="N59" s="51">
        <f>IFERROR(__xludf.DUMMYFUNCTION("""COMPUTED_VALUE"""),295.757742917578)</f>
        <v>295.7577429</v>
      </c>
      <c r="O59" s="52">
        <f>IFERROR(__xludf.DUMMYFUNCTION("""COMPUTED_VALUE"""),82.6764799551989)</f>
        <v>82.67647996</v>
      </c>
    </row>
    <row r="60">
      <c r="A60" s="38">
        <f>IFERROR(__xludf.DUMMYFUNCTION("""COMPUTED_VALUE"""),59.0)</f>
        <v>59</v>
      </c>
      <c r="B60" s="30">
        <f>IFERROR(__xludf.DUMMYFUNCTION("""COMPUTED_VALUE"""),0.113053234)</f>
        <v>0.113053234</v>
      </c>
      <c r="C60" s="30">
        <f>IFERROR(__xludf.DUMMYFUNCTION("""COMPUTED_VALUE"""),0.110344748)</f>
        <v>0.110344748</v>
      </c>
      <c r="D60" s="30">
        <f>IFERROR(__xludf.DUMMYFUNCTION("""COMPUTED_VALUE"""),0.119103006)</f>
        <v>0.119103006</v>
      </c>
      <c r="E60" s="30">
        <f>IFERROR(__xludf.DUMMYFUNCTION("""COMPUTED_VALUE"""),0.124577913)</f>
        <v>0.124577913</v>
      </c>
      <c r="F60" s="30">
        <f>IFERROR(__xludf.DUMMYFUNCTION("""COMPUTED_VALUE"""),0.149292412)</f>
        <v>0.149292412</v>
      </c>
      <c r="G60" s="30">
        <f>IFERROR(__xludf.DUMMYFUNCTION("""COMPUTED_VALUE"""),1.410309328)</f>
        <v>1.410309328</v>
      </c>
      <c r="H60" s="39">
        <f>IFERROR(__xludf.DUMMYFUNCTION("""COMPUTED_VALUE"""),600000.0)</f>
        <v>600000</v>
      </c>
      <c r="I60" s="30">
        <f>IFERROR(__xludf.DUMMYFUNCTION("""COMPUTED_VALUE"""),1000.00169889788)</f>
        <v>1000.001699</v>
      </c>
      <c r="J60" s="30">
        <f>IFERROR(__xludf.DUMMYFUNCTION("""COMPUTED_VALUE"""),999.823253246603)</f>
        <v>999.8232532</v>
      </c>
      <c r="K60" s="40">
        <f>IFERROR(__xludf.DUMMYFUNCTION("""COMPUTED_VALUE"""),1.0)</f>
        <v>1</v>
      </c>
      <c r="L60" s="41">
        <f>IFERROR(__xludf.DUMMYFUNCTION("""COMPUTED_VALUE"""),2.22E7)</f>
        <v>22200000</v>
      </c>
      <c r="M60" s="50">
        <f>IFERROR(__xludf.DUMMYFUNCTION("""COMPUTED_VALUE"""),0.08263816688)</f>
        <v>0.08263816688</v>
      </c>
      <c r="N60" s="51">
        <f>IFERROR(__xludf.DUMMYFUNCTION("""COMPUTED_VALUE"""),605.378294595897)</f>
        <v>605.3782946</v>
      </c>
      <c r="O60" s="52">
        <f>IFERROR(__xludf.DUMMYFUNCTION("""COMPUTED_VALUE"""),284.8255176273)</f>
        <v>284.8255176</v>
      </c>
    </row>
    <row r="61">
      <c r="A61" s="38">
        <f>IFERROR(__xludf.DUMMYFUNCTION("""COMPUTED_VALUE"""),61.0)</f>
        <v>61</v>
      </c>
      <c r="B61" s="30">
        <f>IFERROR(__xludf.DUMMYFUNCTION("""COMPUTED_VALUE"""),0.129672695)</f>
        <v>0.129672695</v>
      </c>
      <c r="C61" s="30">
        <f>IFERROR(__xludf.DUMMYFUNCTION("""COMPUTED_VALUE"""),0.110065588)</f>
        <v>0.110065588</v>
      </c>
      <c r="D61" s="30">
        <f>IFERROR(__xludf.DUMMYFUNCTION("""COMPUTED_VALUE"""),0.121735441)</f>
        <v>0.121735441</v>
      </c>
      <c r="E61" s="30">
        <f>IFERROR(__xludf.DUMMYFUNCTION("""COMPUTED_VALUE"""),0.133812535)</f>
        <v>0.133812535</v>
      </c>
      <c r="F61" s="30">
        <f>IFERROR(__xludf.DUMMYFUNCTION("""COMPUTED_VALUE"""),0.482835689)</f>
        <v>0.482835689</v>
      </c>
      <c r="G61" s="30">
        <f>IFERROR(__xludf.DUMMYFUNCTION("""COMPUTED_VALUE"""),7.392313035)</f>
        <v>7.392313035</v>
      </c>
      <c r="H61" s="39">
        <f>IFERROR(__xludf.DUMMYFUNCTION("""COMPUTED_VALUE"""),600000.0)</f>
        <v>600000</v>
      </c>
      <c r="I61" s="30">
        <f>IFERROR(__xludf.DUMMYFUNCTION("""COMPUTED_VALUE"""),1000.00136410019)</f>
        <v>1000.001364</v>
      </c>
      <c r="J61" s="30">
        <f>IFERROR(__xludf.DUMMYFUNCTION("""COMPUTED_VALUE"""),999.819145345989)</f>
        <v>999.8191453</v>
      </c>
      <c r="K61" s="40">
        <f>IFERROR(__xludf.DUMMYFUNCTION("""COMPUTED_VALUE"""),1.0)</f>
        <v>1</v>
      </c>
      <c r="L61" s="41">
        <f>IFERROR(__xludf.DUMMYFUNCTION("""COMPUTED_VALUE"""),2.22E7)</f>
        <v>22200000</v>
      </c>
      <c r="M61" s="50">
        <f>IFERROR(__xludf.DUMMYFUNCTION("""COMPUTED_VALUE"""),0.0823962052)</f>
        <v>0.0823962052</v>
      </c>
      <c r="N61" s="51">
        <f>IFERROR(__xludf.DUMMYFUNCTION("""COMPUTED_VALUE"""),598.674580803895)</f>
        <v>598.6745808</v>
      </c>
      <c r="O61" s="52">
        <f>IFERROR(__xludf.DUMMYFUNCTION("""COMPUTED_VALUE"""),267.109666705131)</f>
        <v>267.1096667</v>
      </c>
    </row>
    <row r="62">
      <c r="A62" s="38">
        <f>IFERROR(__xludf.DUMMYFUNCTION("""COMPUTED_VALUE"""),65.0)</f>
        <v>65</v>
      </c>
      <c r="B62" s="30">
        <f>IFERROR(__xludf.DUMMYFUNCTION("""COMPUTED_VALUE"""),0.111887205)</f>
        <v>0.111887205</v>
      </c>
      <c r="C62" s="30">
        <f>IFERROR(__xludf.DUMMYFUNCTION("""COMPUTED_VALUE"""),0.109712751)</f>
        <v>0.109712751</v>
      </c>
      <c r="D62" s="30">
        <f>IFERROR(__xludf.DUMMYFUNCTION("""COMPUTED_VALUE"""),0.117950311)</f>
        <v>0.117950311</v>
      </c>
      <c r="E62" s="30">
        <f>IFERROR(__xludf.DUMMYFUNCTION("""COMPUTED_VALUE"""),0.123602219)</f>
        <v>0.123602219</v>
      </c>
      <c r="F62" s="30">
        <f>IFERROR(__xludf.DUMMYFUNCTION("""COMPUTED_VALUE"""),0.143790765)</f>
        <v>0.143790765</v>
      </c>
      <c r="G62" s="30">
        <f>IFERROR(__xludf.DUMMYFUNCTION("""COMPUTED_VALUE"""),0.360656286)</f>
        <v>0.360656286</v>
      </c>
      <c r="H62" s="39">
        <f>IFERROR(__xludf.DUMMYFUNCTION("""COMPUTED_VALUE"""),600000.0)</f>
        <v>600000</v>
      </c>
      <c r="I62" s="30">
        <f>IFERROR(__xludf.DUMMYFUNCTION("""COMPUTED_VALUE"""),1000.00187117016)</f>
        <v>1000.001871</v>
      </c>
      <c r="J62" s="30">
        <f>IFERROR(__xludf.DUMMYFUNCTION("""COMPUTED_VALUE"""),999.821824024002)</f>
        <v>999.821824</v>
      </c>
      <c r="K62" s="40">
        <f>IFERROR(__xludf.DUMMYFUNCTION("""COMPUTED_VALUE"""),1.0)</f>
        <v>1</v>
      </c>
      <c r="L62" s="41">
        <f>IFERROR(__xludf.DUMMYFUNCTION("""COMPUTED_VALUE"""),2.22E7)</f>
        <v>22200000</v>
      </c>
      <c r="M62" s="50">
        <f>IFERROR(__xludf.DUMMYFUNCTION("""COMPUTED_VALUE"""),0.0829601439)</f>
        <v>0.0829601439</v>
      </c>
      <c r="N62" s="51">
        <f>IFERROR(__xludf.DUMMYFUNCTION("""COMPUTED_VALUE"""),687.907860438028)</f>
        <v>687.9078604</v>
      </c>
      <c r="O62" s="52">
        <f>IFERROR(__xludf.DUMMYFUNCTION("""COMPUTED_VALUE"""),292.793940017783)</f>
        <v>292.79394</v>
      </c>
    </row>
    <row r="63">
      <c r="A63" s="38">
        <f>IFERROR(__xludf.DUMMYFUNCTION("""COMPUTED_VALUE"""),67.0)</f>
        <v>67</v>
      </c>
      <c r="B63" s="30">
        <f>IFERROR(__xludf.DUMMYFUNCTION("""COMPUTED_VALUE"""),0.112102115)</f>
        <v>0.112102115</v>
      </c>
      <c r="C63" s="30">
        <f>IFERROR(__xludf.DUMMYFUNCTION("""COMPUTED_VALUE"""),0.110063591)</f>
        <v>0.110063591</v>
      </c>
      <c r="D63" s="30">
        <f>IFERROR(__xludf.DUMMYFUNCTION("""COMPUTED_VALUE"""),0.118667212)</f>
        <v>0.118667212</v>
      </c>
      <c r="E63" s="30">
        <f>IFERROR(__xludf.DUMMYFUNCTION("""COMPUTED_VALUE"""),0.124386973)</f>
        <v>0.124386973</v>
      </c>
      <c r="F63" s="30">
        <f>IFERROR(__xludf.DUMMYFUNCTION("""COMPUTED_VALUE"""),0.140735957)</f>
        <v>0.140735957</v>
      </c>
      <c r="G63" s="30">
        <f>IFERROR(__xludf.DUMMYFUNCTION("""COMPUTED_VALUE"""),0.365695883)</f>
        <v>0.365695883</v>
      </c>
      <c r="H63" s="39">
        <f>IFERROR(__xludf.DUMMYFUNCTION("""COMPUTED_VALUE"""),600000.0)</f>
        <v>600000</v>
      </c>
      <c r="I63" s="30">
        <f>IFERROR(__xludf.DUMMYFUNCTION("""COMPUTED_VALUE"""),1000.00169340286)</f>
        <v>1000.001693</v>
      </c>
      <c r="J63" s="30">
        <f>IFERROR(__xludf.DUMMYFUNCTION("""COMPUTED_VALUE"""),999.820721939719)</f>
        <v>999.8207219</v>
      </c>
      <c r="K63" s="40">
        <f>IFERROR(__xludf.DUMMYFUNCTION("""COMPUTED_VALUE"""),1.0)</f>
        <v>1</v>
      </c>
      <c r="L63" s="41">
        <f>IFERROR(__xludf.DUMMYFUNCTION("""COMPUTED_VALUE"""),2.22E7)</f>
        <v>22200000</v>
      </c>
      <c r="M63" s="50">
        <f>IFERROR(__xludf.DUMMYFUNCTION("""COMPUTED_VALUE"""),0.08324494006)</f>
        <v>0.08324494006</v>
      </c>
      <c r="N63" s="51">
        <f>IFERROR(__xludf.DUMMYFUNCTION("""COMPUTED_VALUE"""),312.391680461961)</f>
        <v>312.3916805</v>
      </c>
      <c r="O63" s="52">
        <f>IFERROR(__xludf.DUMMYFUNCTION("""COMPUTED_VALUE"""),82.003306993472)</f>
        <v>82.00330699</v>
      </c>
    </row>
    <row r="64">
      <c r="A64" s="38">
        <f>IFERROR(__xludf.DUMMYFUNCTION("""COMPUTED_VALUE"""),71.0)</f>
        <v>71</v>
      </c>
      <c r="B64" s="30">
        <f>IFERROR(__xludf.DUMMYFUNCTION("""COMPUTED_VALUE"""),0.118318801)</f>
        <v>0.118318801</v>
      </c>
      <c r="C64" s="30">
        <f>IFERROR(__xludf.DUMMYFUNCTION("""COMPUTED_VALUE"""),0.110722623)</f>
        <v>0.110722623</v>
      </c>
      <c r="D64" s="30">
        <f>IFERROR(__xludf.DUMMYFUNCTION("""COMPUTED_VALUE"""),0.127040805)</f>
        <v>0.127040805</v>
      </c>
      <c r="E64" s="30">
        <f>IFERROR(__xludf.DUMMYFUNCTION("""COMPUTED_VALUE"""),0.148440497)</f>
        <v>0.148440497</v>
      </c>
      <c r="F64" s="30">
        <f>IFERROR(__xludf.DUMMYFUNCTION("""COMPUTED_VALUE"""),0.264229542)</f>
        <v>0.264229542</v>
      </c>
      <c r="G64" s="30">
        <f>IFERROR(__xludf.DUMMYFUNCTION("""COMPUTED_VALUE"""),1.858920113)</f>
        <v>1.858920113</v>
      </c>
      <c r="H64" s="39">
        <f>IFERROR(__xludf.DUMMYFUNCTION("""COMPUTED_VALUE"""),600000.0)</f>
        <v>600000</v>
      </c>
      <c r="I64" s="30">
        <f>IFERROR(__xludf.DUMMYFUNCTION("""COMPUTED_VALUE"""),1000.00173012632)</f>
        <v>1000.00173</v>
      </c>
      <c r="J64" s="30">
        <f>IFERROR(__xludf.DUMMYFUNCTION("""COMPUTED_VALUE"""),999.808433473099)</f>
        <v>999.8084335</v>
      </c>
      <c r="K64" s="40">
        <f>IFERROR(__xludf.DUMMYFUNCTION("""COMPUTED_VALUE"""),1.0)</f>
        <v>1</v>
      </c>
      <c r="L64" s="41">
        <f>IFERROR(__xludf.DUMMYFUNCTION("""COMPUTED_VALUE"""),2.22E7)</f>
        <v>22200000</v>
      </c>
      <c r="M64" s="50">
        <f>IFERROR(__xludf.DUMMYFUNCTION("""COMPUTED_VALUE"""),0.0828983912)</f>
        <v>0.0828983912</v>
      </c>
      <c r="N64" s="51">
        <f>IFERROR(__xludf.DUMMYFUNCTION("""COMPUTED_VALUE"""),403.663321206508)</f>
        <v>403.6633212</v>
      </c>
      <c r="O64" s="52">
        <f>IFERROR(__xludf.DUMMYFUNCTION("""COMPUTED_VALUE"""),155.645695932341)</f>
        <v>155.6456959</v>
      </c>
    </row>
    <row r="65">
      <c r="A65" s="38">
        <f>IFERROR(__xludf.DUMMYFUNCTION("""COMPUTED_VALUE"""),73.0)</f>
        <v>73</v>
      </c>
      <c r="B65" s="30">
        <f>IFERROR(__xludf.DUMMYFUNCTION("""COMPUTED_VALUE"""),0.12783376)</f>
        <v>0.12783376</v>
      </c>
      <c r="C65" s="30">
        <f>IFERROR(__xludf.DUMMYFUNCTION("""COMPUTED_VALUE"""),0.111535072)</f>
        <v>0.111535072</v>
      </c>
      <c r="D65" s="30">
        <f>IFERROR(__xludf.DUMMYFUNCTION("""COMPUTED_VALUE"""),0.132848371)</f>
        <v>0.132848371</v>
      </c>
      <c r="E65" s="30">
        <f>IFERROR(__xludf.DUMMYFUNCTION("""COMPUTED_VALUE"""),0.188919175)</f>
        <v>0.188919175</v>
      </c>
      <c r="F65" s="30">
        <f>IFERROR(__xludf.DUMMYFUNCTION("""COMPUTED_VALUE"""),0.483198329)</f>
        <v>0.483198329</v>
      </c>
      <c r="G65" s="30">
        <f>IFERROR(__xludf.DUMMYFUNCTION("""COMPUTED_VALUE"""),2.751800917)</f>
        <v>2.751800917</v>
      </c>
      <c r="H65" s="39">
        <f>IFERROR(__xludf.DUMMYFUNCTION("""COMPUTED_VALUE"""),600000.0)</f>
        <v>600000</v>
      </c>
      <c r="I65" s="30">
        <f>IFERROR(__xludf.DUMMYFUNCTION("""COMPUTED_VALUE"""),1000.00048720023)</f>
        <v>1000.000487</v>
      </c>
      <c r="J65" s="30">
        <f>IFERROR(__xludf.DUMMYFUNCTION("""COMPUTED_VALUE"""),999.811097872422)</f>
        <v>999.8110979</v>
      </c>
      <c r="K65" s="40">
        <f>IFERROR(__xludf.DUMMYFUNCTION("""COMPUTED_VALUE"""),1.0)</f>
        <v>1</v>
      </c>
      <c r="L65" s="41">
        <f>IFERROR(__xludf.DUMMYFUNCTION("""COMPUTED_VALUE"""),2.22E7)</f>
        <v>22200000</v>
      </c>
      <c r="M65" s="50">
        <f>IFERROR(__xludf.DUMMYFUNCTION("""COMPUTED_VALUE"""),0.08286504618)</f>
        <v>0.08286504618</v>
      </c>
      <c r="N65" s="51">
        <f>IFERROR(__xludf.DUMMYFUNCTION("""COMPUTED_VALUE"""),350.821492336957)</f>
        <v>350.8214923</v>
      </c>
      <c r="O65" s="52">
        <f>IFERROR(__xludf.DUMMYFUNCTION("""COMPUTED_VALUE"""),114.036822842206)</f>
        <v>114.0368228</v>
      </c>
    </row>
    <row r="66">
      <c r="A66" s="38">
        <f>IFERROR(__xludf.DUMMYFUNCTION("""COMPUTED_VALUE"""),75.0)</f>
        <v>75</v>
      </c>
      <c r="B66" s="30">
        <f>IFERROR(__xludf.DUMMYFUNCTION("""COMPUTED_VALUE"""),0.115854406)</f>
        <v>0.115854406</v>
      </c>
      <c r="C66" s="30">
        <f>IFERROR(__xludf.DUMMYFUNCTION("""COMPUTED_VALUE"""),0.112251364)</f>
        <v>0.112251364</v>
      </c>
      <c r="D66" s="30">
        <f>IFERROR(__xludf.DUMMYFUNCTION("""COMPUTED_VALUE"""),0.125780264)</f>
        <v>0.125780264</v>
      </c>
      <c r="E66" s="30">
        <f>IFERROR(__xludf.DUMMYFUNCTION("""COMPUTED_VALUE"""),0.134948474)</f>
        <v>0.134948474</v>
      </c>
      <c r="F66" s="30">
        <f>IFERROR(__xludf.DUMMYFUNCTION("""COMPUTED_VALUE"""),0.170629205)</f>
        <v>0.170629205</v>
      </c>
      <c r="G66" s="30">
        <f>IFERROR(__xludf.DUMMYFUNCTION("""COMPUTED_VALUE"""),0.875922116)</f>
        <v>0.875922116</v>
      </c>
      <c r="H66" s="39">
        <f>IFERROR(__xludf.DUMMYFUNCTION("""COMPUTED_VALUE"""),600000.0)</f>
        <v>600000</v>
      </c>
      <c r="I66" s="30">
        <f>IFERROR(__xludf.DUMMYFUNCTION("""COMPUTED_VALUE"""),1000.00096639593)</f>
        <v>1000.000966</v>
      </c>
      <c r="J66" s="30">
        <f>IFERROR(__xludf.DUMMYFUNCTION("""COMPUTED_VALUE"""),999.804085196798)</f>
        <v>999.8040852</v>
      </c>
      <c r="K66" s="40">
        <f>IFERROR(__xludf.DUMMYFUNCTION("""COMPUTED_VALUE"""),1.0)</f>
        <v>1</v>
      </c>
      <c r="L66" s="41">
        <f>IFERROR(__xludf.DUMMYFUNCTION("""COMPUTED_VALUE"""),2.22E7)</f>
        <v>22200000</v>
      </c>
      <c r="M66" s="50">
        <f>IFERROR(__xludf.DUMMYFUNCTION("""COMPUTED_VALUE"""),0.08279154929)</f>
        <v>0.08279154929</v>
      </c>
      <c r="N66" s="51">
        <f>IFERROR(__xludf.DUMMYFUNCTION("""COMPUTED_VALUE"""),569.018017358046)</f>
        <v>569.0180174</v>
      </c>
      <c r="O66" s="52">
        <f>IFERROR(__xludf.DUMMYFUNCTION("""COMPUTED_VALUE"""),267.586195891124)</f>
        <v>267.5861959</v>
      </c>
    </row>
    <row r="67">
      <c r="A67" s="38">
        <f>IFERROR(__xludf.DUMMYFUNCTION("""COMPUTED_VALUE"""),79.0)</f>
        <v>79</v>
      </c>
      <c r="B67" s="30">
        <f>IFERROR(__xludf.DUMMYFUNCTION("""COMPUTED_VALUE"""),0.120842804)</f>
        <v>0.120842804</v>
      </c>
      <c r="C67" s="30">
        <f>IFERROR(__xludf.DUMMYFUNCTION("""COMPUTED_VALUE"""),0.113967319)</f>
        <v>0.113967319</v>
      </c>
      <c r="D67" s="30">
        <f>IFERROR(__xludf.DUMMYFUNCTION("""COMPUTED_VALUE"""),0.136964029)</f>
        <v>0.136964029</v>
      </c>
      <c r="E67" s="30">
        <f>IFERROR(__xludf.DUMMYFUNCTION("""COMPUTED_VALUE"""),0.151587484)</f>
        <v>0.151587484</v>
      </c>
      <c r="F67" s="30">
        <f>IFERROR(__xludf.DUMMYFUNCTION("""COMPUTED_VALUE"""),0.237787676)</f>
        <v>0.237787676</v>
      </c>
      <c r="G67" s="30">
        <f>IFERROR(__xludf.DUMMYFUNCTION("""COMPUTED_VALUE"""),1.181658263)</f>
        <v>1.181658263</v>
      </c>
      <c r="H67" s="39">
        <f>IFERROR(__xludf.DUMMYFUNCTION("""COMPUTED_VALUE"""),599999.0)</f>
        <v>599999</v>
      </c>
      <c r="I67" s="30">
        <f>IFERROR(__xludf.DUMMYFUNCTION("""COMPUTED_VALUE"""),1000.00010359518)</f>
        <v>1000.000104</v>
      </c>
      <c r="J67" s="30">
        <f>IFERROR(__xludf.DUMMYFUNCTION("""COMPUTED_VALUE"""),999.812271958829)</f>
        <v>999.812272</v>
      </c>
      <c r="K67" s="40">
        <f>IFERROR(__xludf.DUMMYFUNCTION("""COMPUTED_VALUE"""),1.0)</f>
        <v>1</v>
      </c>
      <c r="L67" s="41">
        <f>IFERROR(__xludf.DUMMYFUNCTION("""COMPUTED_VALUE"""),2.2199963E7)</f>
        <v>22199963</v>
      </c>
      <c r="M67" s="50">
        <f>IFERROR(__xludf.DUMMYFUNCTION("""COMPUTED_VALUE"""),0.082757502)</f>
        <v>0.082757502</v>
      </c>
      <c r="N67" s="51">
        <f>IFERROR(__xludf.DUMMYFUNCTION("""COMPUTED_VALUE"""),436.255818493944)</f>
        <v>436.2558185</v>
      </c>
      <c r="O67" s="52">
        <f>IFERROR(__xludf.DUMMYFUNCTION("""COMPUTED_VALUE"""),187.313357889217)</f>
        <v>187.3133579</v>
      </c>
    </row>
    <row r="68">
      <c r="A68" s="38">
        <f>IFERROR(__xludf.DUMMYFUNCTION("""COMPUTED_VALUE"""),81.0)</f>
        <v>81</v>
      </c>
      <c r="B68" s="30">
        <f>IFERROR(__xludf.DUMMYFUNCTION("""COMPUTED_VALUE"""),0.116611925)</f>
        <v>0.116611925</v>
      </c>
      <c r="C68" s="30">
        <f>IFERROR(__xludf.DUMMYFUNCTION("""COMPUTED_VALUE"""),0.110994264)</f>
        <v>0.110994264</v>
      </c>
      <c r="D68" s="30">
        <f>IFERROR(__xludf.DUMMYFUNCTION("""COMPUTED_VALUE"""),0.125209289)</f>
        <v>0.125209289</v>
      </c>
      <c r="E68" s="30">
        <f>IFERROR(__xludf.DUMMYFUNCTION("""COMPUTED_VALUE"""),0.137349325)</f>
        <v>0.137349325</v>
      </c>
      <c r="F68" s="30">
        <f>IFERROR(__xludf.DUMMYFUNCTION("""COMPUTED_VALUE"""),0.230760981)</f>
        <v>0.230760981</v>
      </c>
      <c r="G68" s="30">
        <f>IFERROR(__xludf.DUMMYFUNCTION("""COMPUTED_VALUE"""),0.904960004)</f>
        <v>0.904960004</v>
      </c>
      <c r="H68" s="39">
        <f>IFERROR(__xludf.DUMMYFUNCTION("""COMPUTED_VALUE"""),600000.0)</f>
        <v>600000</v>
      </c>
      <c r="I68" s="30">
        <f>IFERROR(__xludf.DUMMYFUNCTION("""COMPUTED_VALUE"""),1000.00126755494)</f>
        <v>1000.001268</v>
      </c>
      <c r="J68" s="30">
        <f>IFERROR(__xludf.DUMMYFUNCTION("""COMPUTED_VALUE"""),999.813281610268)</f>
        <v>999.8132816</v>
      </c>
      <c r="K68" s="40">
        <f>IFERROR(__xludf.DUMMYFUNCTION("""COMPUTED_VALUE"""),1.0)</f>
        <v>1</v>
      </c>
      <c r="L68" s="41">
        <f>IFERROR(__xludf.DUMMYFUNCTION("""COMPUTED_VALUE"""),2.22E7)</f>
        <v>22200000</v>
      </c>
      <c r="M68" s="50">
        <f>IFERROR(__xludf.DUMMYFUNCTION("""COMPUTED_VALUE"""),0.08380454686)</f>
        <v>0.08380454686</v>
      </c>
      <c r="N68" s="51">
        <f>IFERROR(__xludf.DUMMYFUNCTION("""COMPUTED_VALUE"""),307.015375942654)</f>
        <v>307.0153759</v>
      </c>
      <c r="O68" s="52">
        <f>IFERROR(__xludf.DUMMYFUNCTION("""COMPUTED_VALUE"""),83.7155945967528)</f>
        <v>83.7155946</v>
      </c>
    </row>
    <row r="69">
      <c r="A69" s="38">
        <f>IFERROR(__xludf.DUMMYFUNCTION("""COMPUTED_VALUE"""),91.0)</f>
        <v>91</v>
      </c>
      <c r="B69" s="30">
        <f>IFERROR(__xludf.DUMMYFUNCTION("""COMPUTED_VALUE"""),0.142633962)</f>
        <v>0.142633962</v>
      </c>
      <c r="C69" s="30">
        <f>IFERROR(__xludf.DUMMYFUNCTION("""COMPUTED_VALUE"""),0.11152182)</f>
        <v>0.11152182</v>
      </c>
      <c r="D69" s="30">
        <f>IFERROR(__xludf.DUMMYFUNCTION("""COMPUTED_VALUE"""),0.166047067)</f>
        <v>0.166047067</v>
      </c>
      <c r="E69" s="30">
        <f>IFERROR(__xludf.DUMMYFUNCTION("""COMPUTED_VALUE"""),0.269021966)</f>
        <v>0.269021966</v>
      </c>
      <c r="F69" s="30">
        <f>IFERROR(__xludf.DUMMYFUNCTION("""COMPUTED_VALUE"""),0.737071339)</f>
        <v>0.737071339</v>
      </c>
      <c r="G69" s="30">
        <f>IFERROR(__xludf.DUMMYFUNCTION("""COMPUTED_VALUE"""),4.5553052)</f>
        <v>4.5553052</v>
      </c>
      <c r="H69" s="39">
        <f>IFERROR(__xludf.DUMMYFUNCTION("""COMPUTED_VALUE"""),600000.0)</f>
        <v>600000</v>
      </c>
      <c r="I69" s="30">
        <f>IFERROR(__xludf.DUMMYFUNCTION("""COMPUTED_VALUE"""),1000.00038010014)</f>
        <v>1000.00038</v>
      </c>
      <c r="J69" s="30">
        <f>IFERROR(__xludf.DUMMYFUNCTION("""COMPUTED_VALUE"""),999.200271444317)</f>
        <v>999.2002714</v>
      </c>
      <c r="K69" s="40">
        <f>IFERROR(__xludf.DUMMYFUNCTION("""COMPUTED_VALUE"""),1.0)</f>
        <v>1</v>
      </c>
      <c r="L69" s="41">
        <f>IFERROR(__xludf.DUMMYFUNCTION("""COMPUTED_VALUE"""),2.22E7)</f>
        <v>22200000</v>
      </c>
      <c r="M69" s="50">
        <f>IFERROR(__xludf.DUMMYFUNCTION("""COMPUTED_VALUE"""),0.0807076317972972)</f>
        <v>0.0807076318</v>
      </c>
      <c r="N69" s="51">
        <f>IFERROR(__xludf.DUMMYFUNCTION("""COMPUTED_VALUE"""),442.086354424448)</f>
        <v>442.0863544</v>
      </c>
      <c r="O69" s="52">
        <f>IFERROR(__xludf.DUMMYFUNCTION("""COMPUTED_VALUE"""),173.900417691185)</f>
        <v>173.9004177</v>
      </c>
    </row>
    <row r="70">
      <c r="A70" s="38">
        <f>IFERROR(__xludf.DUMMYFUNCTION("""COMPUTED_VALUE"""),93.0)</f>
        <v>93</v>
      </c>
      <c r="B70" s="30">
        <f>IFERROR(__xludf.DUMMYFUNCTION("""COMPUTED_VALUE"""),0.171599756)</f>
        <v>0.171599756</v>
      </c>
      <c r="C70" s="30">
        <f>IFERROR(__xludf.DUMMYFUNCTION("""COMPUTED_VALUE"""),0.110377447)</f>
        <v>0.110377447</v>
      </c>
      <c r="D70" s="30">
        <f>IFERROR(__xludf.DUMMYFUNCTION("""COMPUTED_VALUE"""),0.192892508)</f>
        <v>0.192892508</v>
      </c>
      <c r="E70" s="30">
        <f>IFERROR(__xludf.DUMMYFUNCTION("""COMPUTED_VALUE"""),0.36099887)</f>
        <v>0.36099887</v>
      </c>
      <c r="F70" s="30">
        <f>IFERROR(__xludf.DUMMYFUNCTION("""COMPUTED_VALUE"""),1.46827418)</f>
        <v>1.46827418</v>
      </c>
      <c r="G70" s="30">
        <f>IFERROR(__xludf.DUMMYFUNCTION("""COMPUTED_VALUE"""),12.217819294)</f>
        <v>12.21781929</v>
      </c>
      <c r="H70" s="39">
        <f>IFERROR(__xludf.DUMMYFUNCTION("""COMPUTED_VALUE"""),600000.0)</f>
        <v>600000</v>
      </c>
      <c r="I70" s="30">
        <f>IFERROR(__xludf.DUMMYFUNCTION("""COMPUTED_VALUE"""),1000.00141879701)</f>
        <v>1000.001419</v>
      </c>
      <c r="J70" s="30">
        <f>IFERROR(__xludf.DUMMYFUNCTION("""COMPUTED_VALUE"""),999.815278026398)</f>
        <v>999.815278</v>
      </c>
      <c r="K70" s="40">
        <f>IFERROR(__xludf.DUMMYFUNCTION("""COMPUTED_VALUE"""),0.999995)</f>
        <v>0.999995</v>
      </c>
      <c r="L70" s="41">
        <f>IFERROR(__xludf.DUMMYFUNCTION("""COMPUTED_VALUE"""),2.2199889E7)</f>
        <v>22199889</v>
      </c>
      <c r="M70" s="42">
        <f>IFERROR(__xludf.DUMMYFUNCTION("""COMPUTED_VALUE"""),0.0808545964804804)</f>
        <v>0.08085459648</v>
      </c>
      <c r="N70" s="37">
        <f>IFERROR(__xludf.DUMMYFUNCTION("""COMPUTED_VALUE"""),552.187547939403)</f>
        <v>552.1875479</v>
      </c>
      <c r="O70" s="43">
        <f>IFERROR(__xludf.DUMMYFUNCTION("""COMPUTED_VALUE"""),175.741196342136)</f>
        <v>175.7411963</v>
      </c>
    </row>
    <row r="71">
      <c r="A71" s="38">
        <f>IFERROR(__xludf.DUMMYFUNCTION("""COMPUTED_VALUE"""),97.0)</f>
        <v>97</v>
      </c>
      <c r="B71" s="30">
        <f>IFERROR(__xludf.DUMMYFUNCTION("""COMPUTED_VALUE"""),0.131115496)</f>
        <v>0.131115496</v>
      </c>
      <c r="C71" s="30">
        <f>IFERROR(__xludf.DUMMYFUNCTION("""COMPUTED_VALUE"""),0.111335586)</f>
        <v>0.111335586</v>
      </c>
      <c r="D71" s="30">
        <f>IFERROR(__xludf.DUMMYFUNCTION("""COMPUTED_VALUE"""),0.1351894)</f>
        <v>0.1351894</v>
      </c>
      <c r="E71" s="30">
        <f>IFERROR(__xludf.DUMMYFUNCTION("""COMPUTED_VALUE"""),0.163838111)</f>
        <v>0.163838111</v>
      </c>
      <c r="F71" s="30">
        <f>IFERROR(__xludf.DUMMYFUNCTION("""COMPUTED_VALUE"""),0.638924591)</f>
        <v>0.638924591</v>
      </c>
      <c r="G71" s="30">
        <f>IFERROR(__xludf.DUMMYFUNCTION("""COMPUTED_VALUE"""),8.149824006)</f>
        <v>8.149824006</v>
      </c>
      <c r="H71" s="39">
        <f>IFERROR(__xludf.DUMMYFUNCTION("""COMPUTED_VALUE"""),600000.0)</f>
        <v>600000</v>
      </c>
      <c r="I71" s="30">
        <f>IFERROR(__xludf.DUMMYFUNCTION("""COMPUTED_VALUE"""),1000.00052627527)</f>
        <v>1000.000526</v>
      </c>
      <c r="J71" s="30">
        <f>IFERROR(__xludf.DUMMYFUNCTION("""COMPUTED_VALUE"""),999.734719938851)</f>
        <v>999.7347199</v>
      </c>
      <c r="K71" s="40">
        <f>IFERROR(__xludf.DUMMYFUNCTION("""COMPUTED_VALUE"""),1.0)</f>
        <v>1</v>
      </c>
      <c r="L71" s="41">
        <f>IFERROR(__xludf.DUMMYFUNCTION("""COMPUTED_VALUE"""),2.22E7)</f>
        <v>22200000</v>
      </c>
      <c r="M71" s="42">
        <f>IFERROR(__xludf.DUMMYFUNCTION("""COMPUTED_VALUE"""),0.0827719868603603)</f>
        <v>0.08277198686</v>
      </c>
      <c r="N71" s="37">
        <f>IFERROR(__xludf.DUMMYFUNCTION("""COMPUTED_VALUE"""),348.925917237617)</f>
        <v>348.9259172</v>
      </c>
      <c r="O71" s="43">
        <f>IFERROR(__xludf.DUMMYFUNCTION("""COMPUTED_VALUE"""),128.913282394409)</f>
        <v>128.9132824</v>
      </c>
    </row>
    <row r="72">
      <c r="A72" s="38">
        <f>IFERROR(__xludf.DUMMYFUNCTION("""COMPUTED_VALUE"""),99.0)</f>
        <v>99</v>
      </c>
      <c r="B72" s="30">
        <f>IFERROR(__xludf.DUMMYFUNCTION("""COMPUTED_VALUE"""),0.12811629)</f>
        <v>0.12811629</v>
      </c>
      <c r="C72" s="30">
        <f>IFERROR(__xludf.DUMMYFUNCTION("""COMPUTED_VALUE"""),0.112003254)</f>
        <v>0.112003254</v>
      </c>
      <c r="D72" s="30">
        <f>IFERROR(__xludf.DUMMYFUNCTION("""COMPUTED_VALUE"""),0.132828714)</f>
        <v>0.132828714</v>
      </c>
      <c r="E72" s="30">
        <f>IFERROR(__xludf.DUMMYFUNCTION("""COMPUTED_VALUE"""),0.165450612)</f>
        <v>0.165450612</v>
      </c>
      <c r="F72" s="30">
        <f>IFERROR(__xludf.DUMMYFUNCTION("""COMPUTED_VALUE"""),0.506228381)</f>
        <v>0.506228381</v>
      </c>
      <c r="G72" s="30">
        <f>IFERROR(__xludf.DUMMYFUNCTION("""COMPUTED_VALUE"""),4.057285141)</f>
        <v>4.057285141</v>
      </c>
      <c r="H72" s="39">
        <f>IFERROR(__xludf.DUMMYFUNCTION("""COMPUTED_VALUE"""),600000.0)</f>
        <v>600000</v>
      </c>
      <c r="I72" s="30">
        <f>IFERROR(__xludf.DUMMYFUNCTION("""COMPUTED_VALUE"""),1000.00121409314)</f>
        <v>1000.001214</v>
      </c>
      <c r="J72" s="30">
        <f>IFERROR(__xludf.DUMMYFUNCTION("""COMPUTED_VALUE"""),999.81616220255)</f>
        <v>999.8161622</v>
      </c>
      <c r="K72" s="40">
        <f>IFERROR(__xludf.DUMMYFUNCTION("""COMPUTED_VALUE"""),1.0)</f>
        <v>1</v>
      </c>
      <c r="L72" s="41">
        <f>IFERROR(__xludf.DUMMYFUNCTION("""COMPUTED_VALUE"""),2.22E7)</f>
        <v>22200000</v>
      </c>
      <c r="M72" s="42">
        <f>IFERROR(__xludf.DUMMYFUNCTION("""COMPUTED_VALUE"""),0.0800843392417417)</f>
        <v>0.08008433924</v>
      </c>
      <c r="N72" s="37">
        <f>IFERROR(__xludf.DUMMYFUNCTION("""COMPUTED_VALUE"""),459.00627568984)</f>
        <v>459.0062757</v>
      </c>
      <c r="O72" s="43">
        <f>IFERROR(__xludf.DUMMYFUNCTION("""COMPUTED_VALUE"""),176.953778971796)</f>
        <v>176.953779</v>
      </c>
    </row>
    <row r="85">
      <c r="A85" s="53"/>
      <c r="B85" s="45"/>
      <c r="C85" s="45"/>
      <c r="D85" s="45"/>
      <c r="E85" s="45"/>
      <c r="F85" s="45"/>
      <c r="G85" s="45"/>
      <c r="H85" s="44"/>
      <c r="I85" s="45"/>
      <c r="J85" s="45"/>
      <c r="K85" s="46"/>
      <c r="L85" s="47"/>
    </row>
    <row r="86">
      <c r="A86" s="53"/>
      <c r="B86" s="45"/>
      <c r="C86" s="45"/>
      <c r="D86" s="45"/>
      <c r="E86" s="45"/>
      <c r="F86" s="45"/>
      <c r="G86" s="45"/>
      <c r="H86" s="44"/>
      <c r="I86" s="45"/>
      <c r="J86" s="45"/>
      <c r="K86" s="46"/>
      <c r="L86" s="47"/>
    </row>
    <row r="87">
      <c r="A87" s="53"/>
      <c r="B87" s="45"/>
      <c r="C87" s="45"/>
      <c r="D87" s="45"/>
      <c r="E87" s="45"/>
      <c r="F87" s="45"/>
      <c r="G87" s="45"/>
      <c r="H87" s="44"/>
      <c r="I87" s="45"/>
      <c r="J87" s="45"/>
      <c r="K87" s="46"/>
      <c r="L87" s="47"/>
    </row>
    <row r="88">
      <c r="A88" s="53"/>
      <c r="B88" s="45"/>
      <c r="C88" s="45"/>
      <c r="D88" s="45"/>
      <c r="E88" s="45"/>
      <c r="F88" s="45"/>
      <c r="G88" s="45"/>
      <c r="H88" s="44"/>
      <c r="I88" s="45"/>
      <c r="J88" s="45"/>
      <c r="K88" s="46"/>
      <c r="L88" s="47"/>
    </row>
    <row r="89">
      <c r="A89" s="53"/>
      <c r="B89" s="45"/>
      <c r="C89" s="45"/>
      <c r="D89" s="45"/>
      <c r="E89" s="45"/>
      <c r="F89" s="45"/>
      <c r="G89" s="45"/>
      <c r="H89" s="44"/>
      <c r="I89" s="45"/>
      <c r="J89" s="45"/>
      <c r="K89" s="46"/>
      <c r="L89" s="47"/>
    </row>
    <row r="90">
      <c r="A90" s="53"/>
      <c r="B90" s="45"/>
      <c r="C90" s="45"/>
      <c r="D90" s="45"/>
      <c r="E90" s="45"/>
      <c r="F90" s="45"/>
      <c r="G90" s="45"/>
      <c r="H90" s="44"/>
      <c r="I90" s="45"/>
      <c r="J90" s="45"/>
      <c r="K90" s="46"/>
      <c r="L90" s="47"/>
    </row>
    <row r="91">
      <c r="A91" s="53"/>
      <c r="B91" s="45"/>
      <c r="C91" s="45"/>
      <c r="D91" s="45"/>
      <c r="E91" s="45"/>
      <c r="F91" s="45"/>
      <c r="G91" s="45"/>
      <c r="H91" s="44"/>
      <c r="I91" s="45"/>
      <c r="J91" s="45"/>
      <c r="K91" s="46"/>
      <c r="L91" s="47"/>
    </row>
    <row r="92">
      <c r="A92" s="53"/>
      <c r="B92" s="45"/>
      <c r="C92" s="45"/>
      <c r="D92" s="45"/>
      <c r="E92" s="45"/>
      <c r="F92" s="45"/>
      <c r="G92" s="45"/>
      <c r="H92" s="44"/>
      <c r="I92" s="45"/>
      <c r="J92" s="45"/>
      <c r="K92" s="46"/>
      <c r="L92" s="47"/>
    </row>
    <row r="93">
      <c r="A93" s="53"/>
      <c r="B93" s="45"/>
      <c r="C93" s="45"/>
      <c r="D93" s="45"/>
      <c r="E93" s="45"/>
      <c r="F93" s="45"/>
      <c r="G93" s="45"/>
      <c r="H93" s="44"/>
      <c r="I93" s="45"/>
      <c r="J93" s="45"/>
      <c r="K93" s="46"/>
      <c r="L93" s="47"/>
    </row>
    <row r="94">
      <c r="A94" s="53"/>
      <c r="B94" s="45"/>
      <c r="C94" s="45"/>
      <c r="D94" s="45"/>
      <c r="E94" s="45"/>
      <c r="F94" s="45"/>
      <c r="G94" s="45"/>
      <c r="H94" s="44"/>
      <c r="I94" s="45"/>
      <c r="J94" s="45"/>
      <c r="K94" s="46"/>
      <c r="L94" s="47"/>
    </row>
    <row r="95">
      <c r="A95" s="53"/>
      <c r="B95" s="45"/>
      <c r="C95" s="45"/>
      <c r="D95" s="45"/>
      <c r="E95" s="45"/>
      <c r="F95" s="45"/>
      <c r="G95" s="45"/>
      <c r="H95" s="44"/>
      <c r="I95" s="45"/>
      <c r="J95" s="45"/>
      <c r="K95" s="46"/>
      <c r="L95" s="47"/>
    </row>
    <row r="96">
      <c r="A96" s="53"/>
      <c r="B96" s="45"/>
      <c r="C96" s="45"/>
      <c r="D96" s="45"/>
      <c r="E96" s="45"/>
      <c r="F96" s="45"/>
      <c r="G96" s="45"/>
      <c r="H96" s="44"/>
      <c r="I96" s="45"/>
      <c r="J96" s="45"/>
      <c r="K96" s="46"/>
      <c r="L96" s="47"/>
    </row>
    <row r="97">
      <c r="A97" s="53"/>
      <c r="B97" s="45"/>
      <c r="C97" s="45"/>
      <c r="D97" s="45"/>
      <c r="E97" s="45"/>
      <c r="F97" s="45"/>
      <c r="G97" s="45"/>
      <c r="H97" s="44"/>
      <c r="I97" s="45"/>
      <c r="J97" s="45"/>
      <c r="K97" s="46"/>
      <c r="L97" s="47"/>
    </row>
    <row r="98">
      <c r="A98" s="53"/>
      <c r="B98" s="45"/>
      <c r="C98" s="45"/>
      <c r="D98" s="45"/>
      <c r="E98" s="45"/>
      <c r="F98" s="45"/>
      <c r="G98" s="45"/>
      <c r="H98" s="44"/>
      <c r="I98" s="45"/>
      <c r="J98" s="45"/>
      <c r="K98" s="46"/>
      <c r="L98" s="47"/>
    </row>
    <row r="99">
      <c r="A99" s="53"/>
      <c r="B99" s="45"/>
      <c r="C99" s="45"/>
      <c r="D99" s="45"/>
      <c r="E99" s="45"/>
      <c r="F99" s="45"/>
      <c r="G99" s="45"/>
      <c r="H99" s="44"/>
      <c r="I99" s="45"/>
      <c r="J99" s="45"/>
      <c r="K99" s="46"/>
      <c r="L99" s="47"/>
    </row>
    <row r="100">
      <c r="A100" s="53"/>
      <c r="B100" s="45"/>
      <c r="C100" s="45"/>
      <c r="D100" s="45"/>
      <c r="E100" s="45"/>
      <c r="F100" s="45"/>
      <c r="G100" s="45"/>
      <c r="H100" s="44"/>
      <c r="I100" s="45"/>
      <c r="J100" s="45"/>
      <c r="K100" s="46"/>
      <c r="L100" s="47"/>
    </row>
    <row r="101">
      <c r="A101" s="53"/>
      <c r="B101" s="45"/>
      <c r="C101" s="45"/>
      <c r="D101" s="45"/>
      <c r="E101" s="45"/>
      <c r="F101" s="45"/>
      <c r="G101" s="45"/>
      <c r="H101" s="44"/>
      <c r="I101" s="45"/>
      <c r="J101" s="45"/>
      <c r="K101" s="46"/>
      <c r="L101" s="47"/>
    </row>
    <row r="102">
      <c r="A102" s="53"/>
      <c r="B102" s="45"/>
      <c r="C102" s="45"/>
      <c r="D102" s="45"/>
      <c r="E102" s="45"/>
      <c r="F102" s="45"/>
      <c r="G102" s="45"/>
      <c r="H102" s="44"/>
      <c r="I102" s="45"/>
      <c r="J102" s="45"/>
      <c r="K102" s="46"/>
      <c r="L102" s="47"/>
    </row>
    <row r="103">
      <c r="A103" s="53"/>
      <c r="B103" s="45"/>
      <c r="C103" s="45"/>
      <c r="D103" s="45"/>
      <c r="E103" s="45"/>
      <c r="F103" s="45"/>
      <c r="G103" s="45"/>
      <c r="H103" s="44"/>
      <c r="I103" s="45"/>
      <c r="J103" s="45"/>
      <c r="K103" s="46"/>
      <c r="L103" s="47"/>
    </row>
    <row r="104">
      <c r="A104" s="53"/>
      <c r="B104" s="45"/>
      <c r="C104" s="45"/>
      <c r="D104" s="45"/>
      <c r="E104" s="45"/>
      <c r="F104" s="45"/>
      <c r="G104" s="45"/>
      <c r="H104" s="44"/>
      <c r="I104" s="45"/>
      <c r="J104" s="45"/>
      <c r="K104" s="46"/>
      <c r="L104" s="47"/>
    </row>
    <row r="105">
      <c r="A105" s="53"/>
      <c r="B105" s="45"/>
      <c r="C105" s="45"/>
      <c r="D105" s="45"/>
      <c r="E105" s="45"/>
      <c r="F105" s="45"/>
      <c r="G105" s="45"/>
      <c r="H105" s="44"/>
      <c r="I105" s="45"/>
      <c r="J105" s="45"/>
      <c r="K105" s="46"/>
      <c r="L105" s="47"/>
    </row>
    <row r="106">
      <c r="A106" s="53"/>
      <c r="B106" s="45"/>
      <c r="C106" s="45"/>
      <c r="D106" s="45"/>
      <c r="E106" s="45"/>
      <c r="F106" s="45"/>
      <c r="G106" s="45"/>
      <c r="H106" s="44"/>
      <c r="I106" s="45"/>
      <c r="J106" s="45"/>
      <c r="K106" s="46"/>
      <c r="L106" s="47"/>
    </row>
    <row r="107">
      <c r="A107" s="53"/>
      <c r="B107" s="45"/>
      <c r="C107" s="45"/>
      <c r="D107" s="45"/>
      <c r="E107" s="45"/>
      <c r="F107" s="45"/>
      <c r="G107" s="45"/>
      <c r="H107" s="44"/>
      <c r="I107" s="45"/>
      <c r="J107" s="45"/>
      <c r="K107" s="46"/>
      <c r="L107" s="47"/>
    </row>
    <row r="108">
      <c r="A108" s="53"/>
      <c r="B108" s="45"/>
      <c r="C108" s="45"/>
      <c r="D108" s="45"/>
      <c r="E108" s="45"/>
      <c r="F108" s="45"/>
      <c r="G108" s="45"/>
      <c r="H108" s="44"/>
      <c r="I108" s="45"/>
      <c r="J108" s="45"/>
      <c r="K108" s="46"/>
      <c r="L108" s="47"/>
    </row>
    <row r="109">
      <c r="A109" s="53"/>
      <c r="B109" s="45"/>
      <c r="C109" s="45"/>
      <c r="D109" s="45"/>
      <c r="E109" s="45"/>
      <c r="F109" s="45"/>
      <c r="G109" s="45"/>
      <c r="H109" s="44"/>
      <c r="I109" s="45"/>
      <c r="J109" s="45"/>
      <c r="K109" s="46"/>
      <c r="L109" s="47"/>
    </row>
    <row r="110">
      <c r="A110" s="53"/>
      <c r="B110" s="45"/>
      <c r="C110" s="45"/>
      <c r="D110" s="45"/>
      <c r="E110" s="45"/>
      <c r="F110" s="45"/>
      <c r="G110" s="45"/>
      <c r="H110" s="44"/>
      <c r="I110" s="45"/>
      <c r="J110" s="45"/>
      <c r="K110" s="46"/>
      <c r="L110" s="47"/>
    </row>
    <row r="111">
      <c r="A111" s="53"/>
      <c r="B111" s="45"/>
      <c r="C111" s="45"/>
      <c r="D111" s="45"/>
      <c r="E111" s="45"/>
      <c r="F111" s="45"/>
      <c r="G111" s="45"/>
      <c r="H111" s="44"/>
      <c r="I111" s="45"/>
      <c r="J111" s="45"/>
      <c r="K111" s="46"/>
      <c r="L111" s="47"/>
    </row>
    <row r="112">
      <c r="A112" s="53"/>
      <c r="B112" s="45"/>
      <c r="C112" s="45"/>
      <c r="D112" s="45"/>
      <c r="E112" s="45"/>
      <c r="F112" s="45"/>
      <c r="G112" s="45"/>
      <c r="H112" s="44"/>
      <c r="I112" s="45"/>
      <c r="J112" s="45"/>
      <c r="K112" s="46"/>
      <c r="L112" s="47"/>
    </row>
    <row r="113">
      <c r="A113" s="53"/>
      <c r="B113" s="45"/>
      <c r="C113" s="45"/>
      <c r="D113" s="45"/>
      <c r="E113" s="45"/>
      <c r="F113" s="45"/>
      <c r="G113" s="45"/>
      <c r="H113" s="44"/>
      <c r="I113" s="45"/>
      <c r="J113" s="45"/>
      <c r="K113" s="46"/>
      <c r="L113" s="47"/>
    </row>
    <row r="114">
      <c r="A114" s="53"/>
      <c r="B114" s="45"/>
      <c r="C114" s="45"/>
      <c r="D114" s="45"/>
      <c r="E114" s="45"/>
      <c r="F114" s="45"/>
      <c r="G114" s="45"/>
      <c r="H114" s="44"/>
      <c r="I114" s="45"/>
      <c r="J114" s="45"/>
      <c r="K114" s="46"/>
      <c r="L114" s="47"/>
    </row>
    <row r="115">
      <c r="A115" s="53"/>
      <c r="B115" s="45"/>
      <c r="C115" s="45"/>
      <c r="D115" s="45"/>
      <c r="E115" s="45"/>
      <c r="F115" s="45"/>
      <c r="G115" s="45"/>
      <c r="H115" s="44"/>
      <c r="I115" s="45"/>
      <c r="J115" s="45"/>
      <c r="K115" s="46"/>
      <c r="L115" s="47"/>
    </row>
    <row r="116">
      <c r="A116" s="53"/>
      <c r="B116" s="45"/>
      <c r="C116" s="45"/>
      <c r="D116" s="45"/>
      <c r="E116" s="45"/>
      <c r="F116" s="45"/>
      <c r="G116" s="45"/>
      <c r="H116" s="44"/>
      <c r="I116" s="45"/>
      <c r="J116" s="45"/>
      <c r="K116" s="46"/>
      <c r="L116" s="47"/>
    </row>
    <row r="117">
      <c r="A117" s="53"/>
      <c r="B117" s="45"/>
      <c r="C117" s="45"/>
      <c r="D117" s="45"/>
      <c r="E117" s="45"/>
      <c r="F117" s="45"/>
      <c r="G117" s="45"/>
      <c r="H117" s="44"/>
      <c r="I117" s="45"/>
      <c r="J117" s="45"/>
      <c r="K117" s="46"/>
      <c r="L117" s="47"/>
    </row>
    <row r="118">
      <c r="A118" s="53"/>
      <c r="B118" s="45"/>
      <c r="C118" s="45"/>
      <c r="D118" s="45"/>
      <c r="E118" s="45"/>
      <c r="F118" s="45"/>
      <c r="G118" s="45"/>
      <c r="H118" s="44"/>
      <c r="I118" s="45"/>
      <c r="J118" s="45"/>
      <c r="K118" s="46"/>
      <c r="L118" s="47"/>
    </row>
    <row r="119">
      <c r="A119" s="53"/>
      <c r="B119" s="45"/>
      <c r="C119" s="45"/>
      <c r="D119" s="45"/>
      <c r="E119" s="45"/>
      <c r="F119" s="45"/>
      <c r="G119" s="45"/>
      <c r="H119" s="44"/>
      <c r="I119" s="45"/>
      <c r="J119" s="45"/>
      <c r="K119" s="46"/>
      <c r="L119" s="47"/>
    </row>
    <row r="120">
      <c r="A120" s="53"/>
      <c r="B120" s="45"/>
      <c r="C120" s="45"/>
      <c r="D120" s="45"/>
      <c r="E120" s="45"/>
      <c r="F120" s="45"/>
      <c r="G120" s="45"/>
      <c r="H120" s="44"/>
      <c r="I120" s="45"/>
      <c r="J120" s="45"/>
      <c r="K120" s="46"/>
      <c r="L120" s="47"/>
    </row>
    <row r="121">
      <c r="A121" s="53"/>
      <c r="B121" s="45"/>
      <c r="C121" s="45"/>
      <c r="D121" s="45"/>
      <c r="E121" s="45"/>
      <c r="F121" s="45"/>
      <c r="G121" s="45"/>
      <c r="H121" s="44"/>
      <c r="I121" s="45"/>
      <c r="J121" s="45"/>
      <c r="K121" s="46"/>
      <c r="L121" s="47"/>
    </row>
    <row r="122">
      <c r="A122" s="53"/>
      <c r="B122" s="45"/>
      <c r="C122" s="45"/>
      <c r="D122" s="45"/>
      <c r="E122" s="45"/>
      <c r="F122" s="45"/>
      <c r="G122" s="45"/>
      <c r="H122" s="44"/>
      <c r="I122" s="45"/>
      <c r="J122" s="45"/>
      <c r="K122" s="46"/>
      <c r="L122" s="47"/>
    </row>
    <row r="123">
      <c r="A123" s="53"/>
      <c r="B123" s="45"/>
      <c r="C123" s="45"/>
      <c r="D123" s="45"/>
      <c r="E123" s="45"/>
      <c r="F123" s="45"/>
      <c r="G123" s="45"/>
      <c r="H123" s="44"/>
      <c r="I123" s="45"/>
      <c r="J123" s="45"/>
      <c r="K123" s="46"/>
      <c r="L123" s="47"/>
    </row>
    <row r="124">
      <c r="A124" s="53"/>
      <c r="B124" s="45"/>
      <c r="C124" s="45"/>
      <c r="D124" s="45"/>
      <c r="E124" s="45"/>
      <c r="F124" s="45"/>
      <c r="G124" s="45"/>
      <c r="H124" s="44"/>
      <c r="I124" s="45"/>
      <c r="J124" s="45"/>
      <c r="K124" s="46"/>
      <c r="L124" s="47"/>
    </row>
    <row r="125">
      <c r="A125" s="53"/>
      <c r="B125" s="45"/>
      <c r="C125" s="45"/>
      <c r="D125" s="45"/>
      <c r="E125" s="45"/>
      <c r="F125" s="45"/>
      <c r="G125" s="45"/>
      <c r="H125" s="44"/>
      <c r="I125" s="45"/>
      <c r="J125" s="45"/>
      <c r="K125" s="46"/>
      <c r="L125" s="47"/>
    </row>
    <row r="126">
      <c r="A126" s="53"/>
      <c r="B126" s="45"/>
      <c r="C126" s="45"/>
      <c r="D126" s="45"/>
      <c r="E126" s="45"/>
      <c r="F126" s="45"/>
      <c r="G126" s="45"/>
      <c r="H126" s="44"/>
      <c r="I126" s="45"/>
      <c r="J126" s="45"/>
      <c r="K126" s="46"/>
      <c r="L126" s="47"/>
    </row>
    <row r="127">
      <c r="A127" s="53"/>
      <c r="B127" s="45"/>
      <c r="C127" s="45"/>
      <c r="D127" s="45"/>
      <c r="E127" s="45"/>
      <c r="F127" s="45"/>
      <c r="G127" s="45"/>
      <c r="H127" s="44"/>
      <c r="I127" s="45"/>
      <c r="J127" s="45"/>
      <c r="K127" s="46"/>
      <c r="L127" s="47"/>
    </row>
    <row r="128">
      <c r="A128" s="53"/>
      <c r="B128" s="45"/>
      <c r="C128" s="45"/>
      <c r="D128" s="45"/>
      <c r="E128" s="45"/>
      <c r="F128" s="45"/>
      <c r="G128" s="45"/>
      <c r="H128" s="44"/>
      <c r="I128" s="45"/>
      <c r="J128" s="45"/>
      <c r="K128" s="46"/>
      <c r="L128" s="47"/>
    </row>
    <row r="129">
      <c r="A129" s="53"/>
      <c r="B129" s="45"/>
      <c r="C129" s="45"/>
      <c r="D129" s="45"/>
      <c r="E129" s="45"/>
      <c r="F129" s="45"/>
      <c r="G129" s="45"/>
      <c r="H129" s="44"/>
      <c r="I129" s="45"/>
      <c r="J129" s="45"/>
      <c r="K129" s="46"/>
      <c r="L129" s="47"/>
    </row>
    <row r="130">
      <c r="A130" s="53"/>
      <c r="B130" s="45"/>
      <c r="C130" s="45"/>
      <c r="D130" s="45"/>
      <c r="E130" s="45"/>
      <c r="F130" s="45"/>
      <c r="G130" s="45"/>
      <c r="H130" s="44"/>
      <c r="I130" s="45"/>
      <c r="J130" s="45"/>
      <c r="K130" s="46"/>
      <c r="L130" s="47"/>
    </row>
    <row r="131">
      <c r="A131" s="53"/>
      <c r="B131" s="45"/>
      <c r="C131" s="45"/>
      <c r="D131" s="45"/>
      <c r="E131" s="45"/>
      <c r="F131" s="45"/>
      <c r="G131" s="45"/>
      <c r="H131" s="44"/>
      <c r="I131" s="45"/>
      <c r="J131" s="45"/>
      <c r="K131" s="46"/>
      <c r="L131" s="47"/>
    </row>
    <row r="132">
      <c r="A132" s="53"/>
      <c r="B132" s="45"/>
      <c r="C132" s="45"/>
      <c r="D132" s="45"/>
      <c r="E132" s="45"/>
      <c r="F132" s="45"/>
      <c r="G132" s="45"/>
      <c r="H132" s="44"/>
      <c r="I132" s="45"/>
      <c r="J132" s="45"/>
      <c r="K132" s="46"/>
      <c r="L132" s="47"/>
    </row>
    <row r="133">
      <c r="A133" s="53"/>
      <c r="B133" s="45"/>
      <c r="C133" s="45"/>
      <c r="D133" s="45"/>
      <c r="E133" s="45"/>
      <c r="F133" s="45"/>
      <c r="G133" s="45"/>
      <c r="H133" s="44"/>
      <c r="I133" s="45"/>
      <c r="J133" s="45"/>
      <c r="K133" s="46"/>
      <c r="L133" s="47"/>
    </row>
    <row r="134">
      <c r="A134" s="53"/>
      <c r="B134" s="45"/>
      <c r="C134" s="45"/>
      <c r="D134" s="45"/>
      <c r="E134" s="45"/>
      <c r="F134" s="45"/>
      <c r="G134" s="45"/>
      <c r="H134" s="44"/>
      <c r="I134" s="45"/>
      <c r="J134" s="45"/>
      <c r="K134" s="46"/>
      <c r="L134" s="47"/>
    </row>
    <row r="135">
      <c r="A135" s="53"/>
      <c r="B135" s="45"/>
      <c r="C135" s="45"/>
      <c r="D135" s="45"/>
      <c r="E135" s="45"/>
      <c r="F135" s="45"/>
      <c r="G135" s="45"/>
      <c r="H135" s="44"/>
      <c r="I135" s="45"/>
      <c r="J135" s="45"/>
      <c r="K135" s="46"/>
      <c r="L135" s="47"/>
    </row>
    <row r="136">
      <c r="A136" s="53"/>
      <c r="B136" s="45"/>
      <c r="C136" s="45"/>
      <c r="D136" s="45"/>
      <c r="E136" s="45"/>
      <c r="F136" s="45"/>
      <c r="G136" s="45"/>
      <c r="H136" s="44"/>
      <c r="I136" s="45"/>
      <c r="J136" s="45"/>
      <c r="K136" s="46"/>
      <c r="L136" s="47"/>
    </row>
    <row r="137">
      <c r="A137" s="53"/>
      <c r="B137" s="45"/>
      <c r="C137" s="45"/>
      <c r="D137" s="45"/>
      <c r="E137" s="45"/>
      <c r="F137" s="45"/>
      <c r="G137" s="45"/>
      <c r="H137" s="44"/>
      <c r="I137" s="45"/>
      <c r="J137" s="45"/>
      <c r="K137" s="46"/>
      <c r="L137" s="47"/>
    </row>
    <row r="138">
      <c r="A138" s="53"/>
      <c r="B138" s="45"/>
      <c r="C138" s="45"/>
      <c r="D138" s="45"/>
      <c r="E138" s="45"/>
      <c r="F138" s="45"/>
      <c r="G138" s="45"/>
      <c r="H138" s="44"/>
      <c r="I138" s="45"/>
      <c r="J138" s="45"/>
      <c r="K138" s="46"/>
      <c r="L138" s="47"/>
    </row>
    <row r="139">
      <c r="A139" s="53"/>
      <c r="B139" s="45"/>
      <c r="C139" s="45"/>
      <c r="D139" s="45"/>
      <c r="E139" s="45"/>
      <c r="F139" s="45"/>
      <c r="G139" s="45"/>
      <c r="H139" s="44"/>
      <c r="I139" s="45"/>
      <c r="J139" s="45"/>
      <c r="K139" s="46"/>
      <c r="L139" s="47"/>
    </row>
    <row r="140">
      <c r="A140" s="53"/>
      <c r="B140" s="45"/>
      <c r="C140" s="45"/>
      <c r="D140" s="45"/>
      <c r="E140" s="45"/>
      <c r="F140" s="45"/>
      <c r="G140" s="45"/>
      <c r="H140" s="44"/>
      <c r="I140" s="45"/>
      <c r="J140" s="45"/>
      <c r="K140" s="46"/>
      <c r="L140" s="47"/>
    </row>
    <row r="141">
      <c r="A141" s="53"/>
      <c r="B141" s="45"/>
      <c r="C141" s="45"/>
      <c r="D141" s="45"/>
      <c r="E141" s="45"/>
      <c r="F141" s="45"/>
      <c r="G141" s="45"/>
      <c r="H141" s="44"/>
      <c r="I141" s="45"/>
      <c r="J141" s="45"/>
      <c r="K141" s="46"/>
      <c r="L141" s="47"/>
    </row>
    <row r="142">
      <c r="A142" s="53"/>
      <c r="B142" s="45"/>
      <c r="C142" s="45"/>
      <c r="D142" s="45"/>
      <c r="E142" s="45"/>
      <c r="F142" s="45"/>
      <c r="G142" s="45"/>
      <c r="H142" s="44"/>
      <c r="I142" s="45"/>
      <c r="J142" s="45"/>
      <c r="K142" s="46"/>
      <c r="L142" s="47"/>
    </row>
    <row r="143">
      <c r="A143" s="53"/>
      <c r="B143" s="45"/>
      <c r="C143" s="45"/>
      <c r="D143" s="45"/>
      <c r="E143" s="45"/>
      <c r="F143" s="45"/>
      <c r="G143" s="45"/>
      <c r="H143" s="44"/>
      <c r="I143" s="45"/>
      <c r="J143" s="45"/>
      <c r="K143" s="46"/>
      <c r="L143" s="47"/>
    </row>
    <row r="144">
      <c r="A144" s="53"/>
      <c r="B144" s="45"/>
      <c r="C144" s="45"/>
      <c r="D144" s="45"/>
      <c r="E144" s="45"/>
      <c r="F144" s="45"/>
      <c r="G144" s="45"/>
      <c r="H144" s="44"/>
      <c r="I144" s="45"/>
      <c r="J144" s="45"/>
      <c r="K144" s="46"/>
      <c r="L144" s="47"/>
    </row>
    <row r="145">
      <c r="A145" s="53"/>
      <c r="B145" s="45"/>
      <c r="C145" s="45"/>
      <c r="D145" s="45"/>
      <c r="E145" s="45"/>
      <c r="F145" s="45"/>
      <c r="G145" s="45"/>
      <c r="H145" s="44"/>
      <c r="I145" s="45"/>
      <c r="J145" s="45"/>
      <c r="K145" s="46"/>
      <c r="L145" s="47"/>
    </row>
    <row r="146">
      <c r="A146" s="53"/>
      <c r="B146" s="45"/>
      <c r="C146" s="45"/>
      <c r="D146" s="45"/>
      <c r="E146" s="45"/>
      <c r="F146" s="45"/>
      <c r="G146" s="45"/>
      <c r="H146" s="44"/>
      <c r="I146" s="45"/>
      <c r="J146" s="45"/>
      <c r="K146" s="46"/>
      <c r="L146" s="47"/>
    </row>
    <row r="147">
      <c r="A147" s="53"/>
      <c r="B147" s="45"/>
      <c r="C147" s="45"/>
      <c r="D147" s="45"/>
      <c r="E147" s="45"/>
      <c r="F147" s="45"/>
      <c r="G147" s="45"/>
      <c r="H147" s="44"/>
      <c r="I147" s="45"/>
      <c r="J147" s="45"/>
      <c r="K147" s="46"/>
      <c r="L147" s="47"/>
    </row>
    <row r="148">
      <c r="A148" s="53"/>
      <c r="B148" s="45"/>
      <c r="C148" s="45"/>
      <c r="D148" s="45"/>
      <c r="E148" s="45"/>
      <c r="F148" s="45"/>
      <c r="G148" s="45"/>
      <c r="H148" s="44"/>
      <c r="I148" s="45"/>
      <c r="J148" s="45"/>
      <c r="K148" s="46"/>
      <c r="L148" s="47"/>
    </row>
    <row r="149">
      <c r="A149" s="53"/>
      <c r="B149" s="45"/>
      <c r="C149" s="45"/>
      <c r="D149" s="45"/>
      <c r="E149" s="45"/>
      <c r="F149" s="45"/>
      <c r="G149" s="45"/>
      <c r="H149" s="44"/>
      <c r="I149" s="45"/>
      <c r="J149" s="45"/>
      <c r="K149" s="46"/>
      <c r="L149" s="47"/>
    </row>
    <row r="150">
      <c r="A150" s="53"/>
      <c r="B150" s="45"/>
      <c r="C150" s="45"/>
      <c r="D150" s="45"/>
      <c r="E150" s="45"/>
      <c r="F150" s="45"/>
      <c r="G150" s="45"/>
      <c r="H150" s="44"/>
      <c r="I150" s="45"/>
      <c r="J150" s="45"/>
      <c r="K150" s="46"/>
      <c r="L150" s="47"/>
    </row>
    <row r="151">
      <c r="A151" s="53"/>
      <c r="B151" s="45"/>
      <c r="C151" s="45"/>
      <c r="D151" s="45"/>
      <c r="E151" s="45"/>
      <c r="F151" s="45"/>
      <c r="G151" s="45"/>
      <c r="H151" s="44"/>
      <c r="I151" s="45"/>
      <c r="J151" s="45"/>
      <c r="K151" s="46"/>
      <c r="L151" s="47"/>
    </row>
    <row r="152">
      <c r="A152" s="53"/>
      <c r="B152" s="45"/>
      <c r="C152" s="45"/>
      <c r="D152" s="45"/>
      <c r="E152" s="45"/>
      <c r="F152" s="45"/>
      <c r="G152" s="45"/>
      <c r="H152" s="44"/>
      <c r="I152" s="45"/>
      <c r="J152" s="45"/>
      <c r="K152" s="46"/>
      <c r="L152" s="47"/>
    </row>
    <row r="153">
      <c r="A153" s="53"/>
      <c r="B153" s="45"/>
      <c r="C153" s="45"/>
      <c r="D153" s="45"/>
      <c r="E153" s="45"/>
      <c r="F153" s="45"/>
      <c r="G153" s="45"/>
      <c r="H153" s="44"/>
      <c r="I153" s="45"/>
      <c r="J153" s="45"/>
      <c r="K153" s="46"/>
      <c r="L153" s="47"/>
    </row>
    <row r="154">
      <c r="A154" s="53"/>
      <c r="B154" s="45"/>
      <c r="C154" s="45"/>
      <c r="D154" s="45"/>
      <c r="E154" s="45"/>
      <c r="F154" s="45"/>
      <c r="G154" s="45"/>
      <c r="H154" s="44"/>
      <c r="I154" s="45"/>
      <c r="J154" s="45"/>
      <c r="K154" s="46"/>
      <c r="L154" s="47"/>
    </row>
    <row r="155">
      <c r="A155" s="53"/>
      <c r="B155" s="45"/>
      <c r="C155" s="45"/>
      <c r="D155" s="45"/>
      <c r="E155" s="45"/>
      <c r="F155" s="45"/>
      <c r="G155" s="45"/>
      <c r="H155" s="44"/>
      <c r="I155" s="45"/>
      <c r="J155" s="45"/>
      <c r="K155" s="46"/>
      <c r="L155" s="47"/>
    </row>
    <row r="156">
      <c r="A156" s="53"/>
      <c r="B156" s="45"/>
      <c r="C156" s="45"/>
      <c r="D156" s="45"/>
      <c r="E156" s="45"/>
      <c r="F156" s="45"/>
      <c r="G156" s="45"/>
      <c r="H156" s="44"/>
      <c r="I156" s="45"/>
      <c r="J156" s="45"/>
      <c r="K156" s="46"/>
      <c r="L156" s="47"/>
    </row>
    <row r="157">
      <c r="A157" s="53"/>
      <c r="B157" s="45"/>
      <c r="C157" s="45"/>
      <c r="D157" s="45"/>
      <c r="E157" s="45"/>
      <c r="F157" s="45"/>
      <c r="G157" s="45"/>
      <c r="H157" s="44"/>
      <c r="I157" s="45"/>
      <c r="J157" s="45"/>
      <c r="K157" s="46"/>
      <c r="L157" s="47"/>
    </row>
    <row r="158">
      <c r="A158" s="53"/>
      <c r="B158" s="45"/>
      <c r="C158" s="45"/>
      <c r="D158" s="45"/>
      <c r="E158" s="45"/>
      <c r="F158" s="45"/>
      <c r="G158" s="45"/>
      <c r="H158" s="44"/>
      <c r="I158" s="45"/>
      <c r="J158" s="45"/>
      <c r="K158" s="46"/>
      <c r="L158" s="47"/>
    </row>
    <row r="159">
      <c r="A159" s="53"/>
      <c r="B159" s="45"/>
      <c r="C159" s="45"/>
      <c r="D159" s="45"/>
      <c r="E159" s="45"/>
      <c r="F159" s="45"/>
      <c r="G159" s="45"/>
      <c r="H159" s="44"/>
      <c r="I159" s="45"/>
      <c r="J159" s="45"/>
      <c r="K159" s="46"/>
      <c r="L159" s="47"/>
    </row>
    <row r="160">
      <c r="A160" s="53"/>
      <c r="B160" s="45"/>
      <c r="C160" s="45"/>
      <c r="D160" s="45"/>
      <c r="E160" s="45"/>
      <c r="F160" s="45"/>
      <c r="G160" s="45"/>
      <c r="H160" s="44"/>
      <c r="I160" s="45"/>
      <c r="J160" s="45"/>
      <c r="K160" s="46"/>
      <c r="L160" s="47"/>
    </row>
    <row r="161">
      <c r="A161" s="53"/>
      <c r="B161" s="45"/>
      <c r="C161" s="45"/>
      <c r="D161" s="45"/>
      <c r="E161" s="45"/>
      <c r="F161" s="45"/>
      <c r="G161" s="45"/>
      <c r="H161" s="44"/>
      <c r="I161" s="45"/>
      <c r="J161" s="45"/>
      <c r="K161" s="46"/>
      <c r="L161" s="47"/>
    </row>
    <row r="162">
      <c r="A162" s="53"/>
      <c r="B162" s="45"/>
      <c r="C162" s="45"/>
      <c r="D162" s="45"/>
      <c r="E162" s="45"/>
      <c r="F162" s="45"/>
      <c r="G162" s="45"/>
      <c r="H162" s="44"/>
      <c r="I162" s="45"/>
      <c r="J162" s="45"/>
      <c r="K162" s="46"/>
      <c r="L162" s="47"/>
    </row>
    <row r="163">
      <c r="A163" s="53"/>
      <c r="B163" s="45"/>
      <c r="C163" s="45"/>
      <c r="D163" s="45"/>
      <c r="E163" s="45"/>
      <c r="F163" s="45"/>
      <c r="G163" s="45"/>
      <c r="H163" s="44"/>
      <c r="I163" s="45"/>
      <c r="J163" s="45"/>
      <c r="K163" s="46"/>
      <c r="L163" s="47"/>
    </row>
    <row r="164">
      <c r="A164" s="53"/>
      <c r="B164" s="45"/>
      <c r="C164" s="45"/>
      <c r="D164" s="45"/>
      <c r="E164" s="45"/>
      <c r="F164" s="45"/>
      <c r="G164" s="45"/>
      <c r="H164" s="44"/>
      <c r="I164" s="45"/>
      <c r="J164" s="45"/>
      <c r="K164" s="46"/>
      <c r="L164" s="47"/>
    </row>
    <row r="165">
      <c r="A165" s="53"/>
      <c r="B165" s="45"/>
      <c r="C165" s="45"/>
      <c r="D165" s="45"/>
      <c r="E165" s="45"/>
      <c r="F165" s="45"/>
      <c r="G165" s="45"/>
      <c r="H165" s="44"/>
      <c r="I165" s="45"/>
      <c r="J165" s="45"/>
      <c r="K165" s="46"/>
      <c r="L165" s="47"/>
    </row>
    <row r="166">
      <c r="A166" s="53"/>
      <c r="B166" s="45"/>
      <c r="C166" s="45"/>
      <c r="D166" s="45"/>
      <c r="E166" s="45"/>
      <c r="F166" s="45"/>
      <c r="G166" s="45"/>
      <c r="H166" s="44"/>
      <c r="I166" s="45"/>
      <c r="J166" s="45"/>
      <c r="K166" s="46"/>
      <c r="L166" s="47"/>
    </row>
    <row r="167">
      <c r="A167" s="53"/>
      <c r="B167" s="45"/>
      <c r="C167" s="45"/>
      <c r="D167" s="45"/>
      <c r="E167" s="45"/>
      <c r="F167" s="45"/>
      <c r="G167" s="45"/>
      <c r="H167" s="44"/>
      <c r="I167" s="45"/>
      <c r="J167" s="45"/>
      <c r="K167" s="46"/>
      <c r="L167" s="47"/>
    </row>
    <row r="168">
      <c r="A168" s="53"/>
      <c r="B168" s="45"/>
      <c r="C168" s="45"/>
      <c r="D168" s="45"/>
      <c r="E168" s="45"/>
      <c r="F168" s="45"/>
      <c r="G168" s="45"/>
      <c r="H168" s="44"/>
      <c r="I168" s="45"/>
      <c r="J168" s="45"/>
      <c r="K168" s="46"/>
      <c r="L168" s="47"/>
    </row>
    <row r="169">
      <c r="A169" s="53"/>
      <c r="B169" s="45"/>
      <c r="C169" s="45"/>
      <c r="D169" s="45"/>
      <c r="E169" s="45"/>
      <c r="F169" s="45"/>
      <c r="G169" s="45"/>
      <c r="H169" s="44"/>
      <c r="I169" s="45"/>
      <c r="J169" s="45"/>
      <c r="K169" s="46"/>
      <c r="L169" s="47"/>
    </row>
    <row r="170">
      <c r="A170" s="53"/>
      <c r="B170" s="45"/>
      <c r="C170" s="45"/>
      <c r="D170" s="45"/>
      <c r="E170" s="45"/>
      <c r="F170" s="45"/>
      <c r="G170" s="45"/>
      <c r="H170" s="44"/>
      <c r="I170" s="45"/>
      <c r="J170" s="45"/>
      <c r="K170" s="46"/>
      <c r="L170" s="47"/>
    </row>
    <row r="171">
      <c r="A171" s="53"/>
      <c r="B171" s="45"/>
      <c r="C171" s="45"/>
      <c r="D171" s="45"/>
      <c r="E171" s="45"/>
      <c r="F171" s="45"/>
      <c r="G171" s="45"/>
      <c r="H171" s="44"/>
      <c r="I171" s="45"/>
      <c r="J171" s="45"/>
      <c r="K171" s="46"/>
      <c r="L171" s="47"/>
    </row>
    <row r="172">
      <c r="A172" s="53"/>
      <c r="B172" s="45"/>
      <c r="C172" s="45"/>
      <c r="D172" s="45"/>
      <c r="E172" s="45"/>
      <c r="F172" s="45"/>
      <c r="G172" s="45"/>
      <c r="H172" s="44"/>
      <c r="I172" s="45"/>
      <c r="J172" s="45"/>
      <c r="K172" s="46"/>
      <c r="L172" s="47"/>
    </row>
    <row r="173">
      <c r="A173" s="53"/>
      <c r="B173" s="45"/>
      <c r="C173" s="45"/>
      <c r="D173" s="45"/>
      <c r="E173" s="45"/>
      <c r="F173" s="45"/>
      <c r="G173" s="45"/>
      <c r="H173" s="44"/>
      <c r="I173" s="45"/>
      <c r="J173" s="45"/>
      <c r="K173" s="46"/>
      <c r="L173" s="47"/>
    </row>
    <row r="174">
      <c r="A174" s="53"/>
      <c r="B174" s="45"/>
      <c r="C174" s="45"/>
      <c r="D174" s="45"/>
      <c r="E174" s="45"/>
      <c r="F174" s="45"/>
      <c r="G174" s="45"/>
      <c r="H174" s="44"/>
      <c r="I174" s="45"/>
      <c r="J174" s="45"/>
      <c r="K174" s="46"/>
      <c r="L174" s="47"/>
    </row>
    <row r="175">
      <c r="A175" s="53"/>
      <c r="B175" s="45"/>
      <c r="C175" s="45"/>
      <c r="D175" s="45"/>
      <c r="E175" s="45"/>
      <c r="F175" s="45"/>
      <c r="G175" s="45"/>
      <c r="H175" s="44"/>
      <c r="I175" s="45"/>
      <c r="J175" s="45"/>
      <c r="K175" s="46"/>
      <c r="L175" s="47"/>
    </row>
    <row r="176">
      <c r="A176" s="53"/>
      <c r="B176" s="45"/>
      <c r="C176" s="45"/>
      <c r="D176" s="45"/>
      <c r="E176" s="45"/>
      <c r="F176" s="45"/>
      <c r="G176" s="45"/>
      <c r="H176" s="44"/>
      <c r="I176" s="45"/>
      <c r="J176" s="45"/>
      <c r="K176" s="46"/>
      <c r="L176" s="47"/>
    </row>
    <row r="177">
      <c r="A177" s="53"/>
      <c r="B177" s="45"/>
      <c r="C177" s="45"/>
      <c r="D177" s="45"/>
      <c r="E177" s="45"/>
      <c r="F177" s="45"/>
      <c r="G177" s="45"/>
      <c r="H177" s="44"/>
      <c r="I177" s="45"/>
      <c r="J177" s="45"/>
      <c r="K177" s="46"/>
      <c r="L177" s="47"/>
    </row>
    <row r="178">
      <c r="A178" s="53"/>
      <c r="B178" s="45"/>
      <c r="C178" s="45"/>
      <c r="D178" s="45"/>
      <c r="E178" s="45"/>
      <c r="F178" s="45"/>
      <c r="G178" s="45"/>
      <c r="H178" s="44"/>
      <c r="I178" s="45"/>
      <c r="J178" s="45"/>
      <c r="K178" s="46"/>
      <c r="L178" s="47"/>
    </row>
    <row r="179">
      <c r="A179" s="53"/>
      <c r="B179" s="45"/>
      <c r="C179" s="45"/>
      <c r="D179" s="45"/>
      <c r="E179" s="45"/>
      <c r="F179" s="45"/>
      <c r="G179" s="45"/>
      <c r="H179" s="44"/>
      <c r="I179" s="45"/>
      <c r="J179" s="45"/>
      <c r="K179" s="46"/>
      <c r="L179" s="47"/>
    </row>
    <row r="180">
      <c r="A180" s="53"/>
      <c r="B180" s="45"/>
      <c r="C180" s="45"/>
      <c r="D180" s="45"/>
      <c r="E180" s="45"/>
      <c r="F180" s="45"/>
      <c r="G180" s="45"/>
      <c r="H180" s="44"/>
      <c r="I180" s="45"/>
      <c r="J180" s="45"/>
      <c r="K180" s="46"/>
      <c r="L180" s="47"/>
    </row>
    <row r="181">
      <c r="A181" s="53"/>
      <c r="B181" s="45"/>
      <c r="C181" s="45"/>
      <c r="D181" s="45"/>
      <c r="E181" s="45"/>
      <c r="F181" s="45"/>
      <c r="G181" s="45"/>
      <c r="H181" s="44"/>
      <c r="I181" s="45"/>
      <c r="J181" s="45"/>
      <c r="K181" s="46"/>
      <c r="L181" s="47"/>
    </row>
    <row r="182">
      <c r="A182" s="53"/>
      <c r="B182" s="45"/>
      <c r="C182" s="45"/>
      <c r="D182" s="45"/>
      <c r="E182" s="45"/>
      <c r="F182" s="45"/>
      <c r="G182" s="45"/>
      <c r="H182" s="44"/>
      <c r="I182" s="45"/>
      <c r="J182" s="45"/>
      <c r="K182" s="46"/>
      <c r="L182" s="47"/>
    </row>
    <row r="183">
      <c r="A183" s="53"/>
      <c r="B183" s="45"/>
      <c r="C183" s="45"/>
      <c r="D183" s="45"/>
      <c r="E183" s="45"/>
      <c r="F183" s="45"/>
      <c r="G183" s="45"/>
      <c r="H183" s="44"/>
      <c r="I183" s="45"/>
      <c r="J183" s="45"/>
      <c r="K183" s="46"/>
      <c r="L183" s="47"/>
    </row>
    <row r="184">
      <c r="A184" s="53"/>
      <c r="B184" s="45"/>
      <c r="C184" s="45"/>
      <c r="D184" s="45"/>
      <c r="E184" s="45"/>
      <c r="F184" s="45"/>
      <c r="G184" s="45"/>
      <c r="H184" s="44"/>
      <c r="I184" s="45"/>
      <c r="J184" s="45"/>
      <c r="K184" s="46"/>
      <c r="L184" s="47"/>
    </row>
    <row r="185">
      <c r="A185" s="53"/>
      <c r="B185" s="45"/>
      <c r="C185" s="45"/>
      <c r="D185" s="45"/>
      <c r="E185" s="45"/>
      <c r="F185" s="45"/>
      <c r="G185" s="45"/>
      <c r="H185" s="44"/>
      <c r="I185" s="45"/>
      <c r="J185" s="45"/>
      <c r="K185" s="46"/>
      <c r="L185" s="47"/>
    </row>
    <row r="186">
      <c r="A186" s="53"/>
      <c r="B186" s="45"/>
      <c r="C186" s="45"/>
      <c r="D186" s="45"/>
      <c r="E186" s="45"/>
      <c r="F186" s="45"/>
      <c r="G186" s="45"/>
      <c r="H186" s="44"/>
      <c r="I186" s="45"/>
      <c r="J186" s="45"/>
      <c r="K186" s="46"/>
      <c r="L186" s="47"/>
    </row>
    <row r="187">
      <c r="A187" s="53"/>
      <c r="B187" s="45"/>
      <c r="C187" s="45"/>
      <c r="D187" s="45"/>
      <c r="E187" s="45"/>
      <c r="F187" s="45"/>
      <c r="G187" s="45"/>
      <c r="H187" s="44"/>
      <c r="I187" s="45"/>
      <c r="J187" s="45"/>
      <c r="K187" s="46"/>
      <c r="L187" s="47"/>
    </row>
    <row r="188">
      <c r="A188" s="53"/>
      <c r="B188" s="45"/>
      <c r="C188" s="45"/>
      <c r="D188" s="45"/>
      <c r="E188" s="45"/>
      <c r="F188" s="45"/>
      <c r="G188" s="45"/>
      <c r="H188" s="44"/>
      <c r="I188" s="45"/>
      <c r="J188" s="45"/>
      <c r="K188" s="46"/>
      <c r="L188" s="47"/>
    </row>
    <row r="189">
      <c r="A189" s="53"/>
      <c r="B189" s="45"/>
      <c r="C189" s="45"/>
      <c r="D189" s="45"/>
      <c r="E189" s="45"/>
      <c r="F189" s="45"/>
      <c r="G189" s="45"/>
      <c r="H189" s="44"/>
      <c r="I189" s="45"/>
      <c r="J189" s="45"/>
      <c r="K189" s="46"/>
      <c r="L189" s="47"/>
    </row>
    <row r="190">
      <c r="A190" s="53"/>
      <c r="B190" s="45"/>
      <c r="C190" s="45"/>
      <c r="D190" s="45"/>
      <c r="E190" s="45"/>
      <c r="F190" s="45"/>
      <c r="G190" s="45"/>
      <c r="H190" s="44"/>
      <c r="I190" s="45"/>
      <c r="J190" s="45"/>
      <c r="K190" s="46"/>
      <c r="L190" s="47"/>
    </row>
    <row r="191">
      <c r="A191" s="53"/>
      <c r="B191" s="45"/>
      <c r="C191" s="45"/>
      <c r="D191" s="45"/>
      <c r="E191" s="45"/>
      <c r="F191" s="45"/>
      <c r="G191" s="45"/>
      <c r="H191" s="44"/>
      <c r="I191" s="45"/>
      <c r="J191" s="45"/>
      <c r="K191" s="46"/>
      <c r="L191" s="47"/>
    </row>
    <row r="192">
      <c r="A192" s="53"/>
      <c r="B192" s="45"/>
      <c r="C192" s="45"/>
      <c r="D192" s="45"/>
      <c r="E192" s="45"/>
      <c r="F192" s="45"/>
      <c r="G192" s="45"/>
      <c r="H192" s="44"/>
      <c r="I192" s="45"/>
      <c r="J192" s="45"/>
      <c r="K192" s="46"/>
      <c r="L192" s="47"/>
    </row>
    <row r="193">
      <c r="A193" s="53"/>
      <c r="B193" s="45"/>
      <c r="C193" s="45"/>
      <c r="D193" s="45"/>
      <c r="E193" s="45"/>
      <c r="F193" s="45"/>
      <c r="G193" s="45"/>
      <c r="H193" s="44"/>
      <c r="I193" s="45"/>
      <c r="J193" s="45"/>
      <c r="K193" s="46"/>
      <c r="L193" s="47"/>
    </row>
    <row r="194">
      <c r="A194" s="53"/>
      <c r="B194" s="45"/>
      <c r="C194" s="45"/>
      <c r="D194" s="45"/>
      <c r="E194" s="45"/>
      <c r="F194" s="45"/>
      <c r="G194" s="45"/>
      <c r="H194" s="44"/>
      <c r="I194" s="45"/>
      <c r="J194" s="45"/>
      <c r="K194" s="46"/>
      <c r="L194" s="47"/>
    </row>
    <row r="195">
      <c r="A195" s="53"/>
      <c r="B195" s="45"/>
      <c r="C195" s="45"/>
      <c r="D195" s="45"/>
      <c r="E195" s="45"/>
      <c r="F195" s="45"/>
      <c r="G195" s="45"/>
      <c r="H195" s="44"/>
      <c r="I195" s="45"/>
      <c r="J195" s="45"/>
      <c r="K195" s="46"/>
      <c r="L195" s="47"/>
    </row>
    <row r="196">
      <c r="A196" s="53"/>
      <c r="B196" s="45"/>
      <c r="C196" s="45"/>
      <c r="D196" s="45"/>
      <c r="E196" s="45"/>
      <c r="F196" s="45"/>
      <c r="G196" s="45"/>
      <c r="H196" s="44"/>
      <c r="I196" s="45"/>
      <c r="J196" s="45"/>
      <c r="K196" s="46"/>
      <c r="L196" s="47"/>
    </row>
    <row r="197">
      <c r="A197" s="53"/>
      <c r="B197" s="45"/>
      <c r="C197" s="45"/>
      <c r="D197" s="45"/>
      <c r="E197" s="45"/>
      <c r="F197" s="45"/>
      <c r="G197" s="45"/>
      <c r="H197" s="44"/>
      <c r="I197" s="45"/>
      <c r="J197" s="45"/>
      <c r="K197" s="46"/>
      <c r="L197" s="47"/>
    </row>
    <row r="198">
      <c r="A198" s="53"/>
      <c r="B198" s="45"/>
      <c r="C198" s="45"/>
      <c r="D198" s="45"/>
      <c r="E198" s="45"/>
      <c r="F198" s="45"/>
      <c r="G198" s="45"/>
      <c r="H198" s="44"/>
      <c r="I198" s="45"/>
      <c r="J198" s="45"/>
      <c r="K198" s="46"/>
      <c r="L198" s="47"/>
    </row>
    <row r="199">
      <c r="A199" s="53"/>
      <c r="B199" s="45"/>
      <c r="C199" s="45"/>
      <c r="D199" s="45"/>
      <c r="E199" s="45"/>
      <c r="F199" s="45"/>
      <c r="G199" s="45"/>
      <c r="H199" s="44"/>
      <c r="I199" s="45"/>
      <c r="J199" s="45"/>
      <c r="K199" s="46"/>
      <c r="L199" s="47"/>
    </row>
    <row r="200">
      <c r="A200" s="53"/>
      <c r="B200" s="45"/>
      <c r="C200" s="45"/>
      <c r="D200" s="45"/>
      <c r="E200" s="45"/>
      <c r="F200" s="45"/>
      <c r="G200" s="45"/>
      <c r="H200" s="44"/>
      <c r="I200" s="45"/>
      <c r="J200" s="45"/>
      <c r="K200" s="46"/>
      <c r="L200" s="47"/>
    </row>
    <row r="201">
      <c r="A201" s="53"/>
      <c r="B201" s="45"/>
      <c r="C201" s="45"/>
      <c r="D201" s="45"/>
      <c r="E201" s="45"/>
      <c r="F201" s="45"/>
      <c r="G201" s="45"/>
      <c r="H201" s="44"/>
      <c r="I201" s="45"/>
      <c r="J201" s="45"/>
      <c r="K201" s="46"/>
      <c r="L201" s="47"/>
    </row>
    <row r="202">
      <c r="A202" s="53"/>
      <c r="B202" s="45"/>
      <c r="C202" s="45"/>
      <c r="D202" s="45"/>
      <c r="E202" s="45"/>
      <c r="F202" s="45"/>
      <c r="G202" s="45"/>
      <c r="H202" s="44"/>
      <c r="I202" s="45"/>
      <c r="J202" s="45"/>
      <c r="K202" s="46"/>
      <c r="L202" s="47"/>
    </row>
    <row r="203">
      <c r="A203" s="53"/>
      <c r="B203" s="45"/>
      <c r="C203" s="45"/>
      <c r="D203" s="45"/>
      <c r="E203" s="45"/>
      <c r="F203" s="45"/>
      <c r="G203" s="45"/>
      <c r="H203" s="44"/>
      <c r="I203" s="45"/>
      <c r="J203" s="45"/>
      <c r="K203" s="46"/>
      <c r="L203" s="47"/>
    </row>
    <row r="204">
      <c r="A204" s="53"/>
      <c r="B204" s="45"/>
      <c r="C204" s="45"/>
      <c r="D204" s="45"/>
      <c r="E204" s="45"/>
      <c r="F204" s="45"/>
      <c r="G204" s="45"/>
      <c r="H204" s="44"/>
      <c r="I204" s="45"/>
      <c r="J204" s="45"/>
      <c r="K204" s="46"/>
      <c r="L204" s="47"/>
    </row>
    <row r="205">
      <c r="A205" s="53"/>
      <c r="B205" s="45"/>
      <c r="C205" s="45"/>
      <c r="D205" s="45"/>
      <c r="E205" s="45"/>
      <c r="F205" s="45"/>
      <c r="G205" s="45"/>
      <c r="H205" s="44"/>
      <c r="I205" s="45"/>
      <c r="J205" s="45"/>
      <c r="K205" s="46"/>
      <c r="L205" s="47"/>
    </row>
    <row r="206">
      <c r="A206" s="53"/>
      <c r="B206" s="45"/>
      <c r="C206" s="45"/>
      <c r="D206" s="45"/>
      <c r="E206" s="45"/>
      <c r="F206" s="45"/>
      <c r="G206" s="45"/>
      <c r="H206" s="44"/>
      <c r="I206" s="45"/>
      <c r="J206" s="45"/>
      <c r="K206" s="46"/>
      <c r="L206" s="47"/>
    </row>
    <row r="207">
      <c r="A207" s="53"/>
      <c r="B207" s="45"/>
      <c r="C207" s="45"/>
      <c r="D207" s="45"/>
      <c r="E207" s="45"/>
      <c r="F207" s="45"/>
      <c r="G207" s="45"/>
      <c r="H207" s="44"/>
      <c r="I207" s="45"/>
      <c r="J207" s="45"/>
      <c r="K207" s="46"/>
      <c r="L207" s="47"/>
    </row>
    <row r="208">
      <c r="A208" s="53"/>
      <c r="B208" s="45"/>
      <c r="C208" s="45"/>
      <c r="D208" s="45"/>
      <c r="E208" s="45"/>
      <c r="F208" s="45"/>
      <c r="G208" s="45"/>
      <c r="H208" s="44"/>
      <c r="I208" s="45"/>
      <c r="J208" s="45"/>
      <c r="K208" s="46"/>
      <c r="L208" s="47"/>
    </row>
    <row r="209">
      <c r="A209" s="53"/>
      <c r="B209" s="45"/>
      <c r="C209" s="45"/>
      <c r="D209" s="45"/>
      <c r="E209" s="45"/>
      <c r="F209" s="45"/>
      <c r="G209" s="45"/>
      <c r="H209" s="44"/>
      <c r="I209" s="45"/>
      <c r="J209" s="45"/>
      <c r="K209" s="46"/>
      <c r="L209" s="47"/>
    </row>
    <row r="210">
      <c r="A210" s="53"/>
      <c r="B210" s="45"/>
      <c r="C210" s="45"/>
      <c r="D210" s="45"/>
      <c r="E210" s="45"/>
      <c r="F210" s="45"/>
      <c r="G210" s="45"/>
      <c r="H210" s="44"/>
      <c r="I210" s="45"/>
      <c r="J210" s="45"/>
      <c r="K210" s="46"/>
      <c r="L210" s="47"/>
    </row>
    <row r="211">
      <c r="A211" s="53"/>
      <c r="B211" s="45"/>
      <c r="C211" s="45"/>
      <c r="D211" s="45"/>
      <c r="E211" s="45"/>
      <c r="F211" s="45"/>
      <c r="G211" s="45"/>
      <c r="H211" s="44"/>
      <c r="I211" s="45"/>
      <c r="J211" s="45"/>
      <c r="K211" s="46"/>
      <c r="L211" s="47"/>
    </row>
    <row r="212">
      <c r="A212" s="53"/>
      <c r="B212" s="45"/>
      <c r="C212" s="45"/>
      <c r="D212" s="45"/>
      <c r="E212" s="45"/>
      <c r="F212" s="45"/>
      <c r="G212" s="45"/>
      <c r="H212" s="44"/>
      <c r="I212" s="45"/>
      <c r="J212" s="45"/>
      <c r="K212" s="46"/>
      <c r="L212" s="47"/>
    </row>
    <row r="213">
      <c r="A213" s="53"/>
      <c r="B213" s="45"/>
      <c r="C213" s="45"/>
      <c r="D213" s="45"/>
      <c r="E213" s="45"/>
      <c r="F213" s="45"/>
      <c r="G213" s="45"/>
      <c r="H213" s="44"/>
      <c r="I213" s="45"/>
      <c r="J213" s="45"/>
      <c r="K213" s="46"/>
      <c r="L213" s="47"/>
    </row>
    <row r="214">
      <c r="A214" s="53"/>
      <c r="B214" s="45"/>
      <c r="C214" s="45"/>
      <c r="D214" s="45"/>
      <c r="E214" s="45"/>
      <c r="F214" s="45"/>
      <c r="G214" s="45"/>
      <c r="H214" s="44"/>
      <c r="I214" s="45"/>
      <c r="J214" s="45"/>
      <c r="K214" s="46"/>
      <c r="L214" s="47"/>
    </row>
    <row r="215">
      <c r="A215" s="53"/>
      <c r="B215" s="45"/>
      <c r="C215" s="45"/>
      <c r="D215" s="45"/>
      <c r="E215" s="45"/>
      <c r="F215" s="45"/>
      <c r="G215" s="45"/>
      <c r="H215" s="44"/>
      <c r="I215" s="45"/>
      <c r="J215" s="45"/>
      <c r="K215" s="46"/>
      <c r="L215" s="47"/>
    </row>
    <row r="216">
      <c r="A216" s="53"/>
      <c r="B216" s="45"/>
      <c r="C216" s="45"/>
      <c r="D216" s="45"/>
      <c r="E216" s="45"/>
      <c r="F216" s="45"/>
      <c r="G216" s="45"/>
      <c r="H216" s="44"/>
      <c r="I216" s="45"/>
      <c r="J216" s="45"/>
      <c r="K216" s="46"/>
      <c r="L216" s="47"/>
    </row>
    <row r="217">
      <c r="A217" s="53"/>
      <c r="B217" s="45"/>
      <c r="C217" s="45"/>
      <c r="D217" s="45"/>
      <c r="E217" s="45"/>
      <c r="F217" s="45"/>
      <c r="G217" s="45"/>
      <c r="H217" s="44"/>
      <c r="I217" s="45"/>
      <c r="J217" s="45"/>
      <c r="K217" s="46"/>
      <c r="L217" s="47"/>
    </row>
    <row r="218">
      <c r="A218" s="53"/>
      <c r="B218" s="45"/>
      <c r="C218" s="45"/>
      <c r="D218" s="45"/>
      <c r="E218" s="45"/>
      <c r="F218" s="45"/>
      <c r="G218" s="45"/>
      <c r="H218" s="44"/>
      <c r="I218" s="45"/>
      <c r="J218" s="45"/>
      <c r="K218" s="46"/>
      <c r="L218" s="47"/>
    </row>
    <row r="219">
      <c r="A219" s="53"/>
      <c r="B219" s="45"/>
      <c r="C219" s="45"/>
      <c r="D219" s="45"/>
      <c r="E219" s="45"/>
      <c r="F219" s="45"/>
      <c r="G219" s="45"/>
      <c r="H219" s="44"/>
      <c r="I219" s="45"/>
      <c r="J219" s="45"/>
      <c r="K219" s="46"/>
      <c r="L219" s="47"/>
    </row>
    <row r="220">
      <c r="A220" s="53"/>
      <c r="B220" s="45"/>
      <c r="C220" s="45"/>
      <c r="D220" s="45"/>
      <c r="E220" s="45"/>
      <c r="F220" s="45"/>
      <c r="G220" s="45"/>
      <c r="H220" s="44"/>
      <c r="I220" s="45"/>
      <c r="J220" s="45"/>
      <c r="K220" s="46"/>
      <c r="L220" s="47"/>
    </row>
    <row r="221">
      <c r="A221" s="53"/>
      <c r="B221" s="45"/>
      <c r="C221" s="45"/>
      <c r="D221" s="45"/>
      <c r="E221" s="45"/>
      <c r="F221" s="45"/>
      <c r="G221" s="45"/>
      <c r="H221" s="44"/>
      <c r="I221" s="45"/>
      <c r="J221" s="45"/>
      <c r="K221" s="46"/>
      <c r="L221" s="47"/>
    </row>
    <row r="222">
      <c r="A222" s="53"/>
      <c r="B222" s="45"/>
      <c r="C222" s="45"/>
      <c r="D222" s="45"/>
      <c r="E222" s="45"/>
      <c r="F222" s="45"/>
      <c r="G222" s="45"/>
      <c r="H222" s="44"/>
      <c r="I222" s="45"/>
      <c r="J222" s="45"/>
      <c r="K222" s="46"/>
      <c r="L222" s="47"/>
    </row>
    <row r="223">
      <c r="A223" s="53"/>
      <c r="B223" s="45"/>
      <c r="C223" s="45"/>
      <c r="D223" s="45"/>
      <c r="E223" s="45"/>
      <c r="F223" s="45"/>
      <c r="G223" s="45"/>
      <c r="H223" s="44"/>
      <c r="I223" s="45"/>
      <c r="J223" s="45"/>
      <c r="K223" s="46"/>
      <c r="L223" s="47"/>
    </row>
    <row r="224">
      <c r="A224" s="53"/>
      <c r="B224" s="45"/>
      <c r="C224" s="45"/>
      <c r="D224" s="45"/>
      <c r="E224" s="45"/>
      <c r="F224" s="45"/>
      <c r="G224" s="45"/>
      <c r="H224" s="44"/>
      <c r="I224" s="45"/>
      <c r="J224" s="45"/>
      <c r="K224" s="46"/>
      <c r="L224" s="47"/>
    </row>
    <row r="225">
      <c r="A225" s="53"/>
      <c r="B225" s="45"/>
      <c r="C225" s="45"/>
      <c r="D225" s="45"/>
      <c r="E225" s="45"/>
      <c r="F225" s="45"/>
      <c r="G225" s="45"/>
      <c r="H225" s="44"/>
      <c r="I225" s="45"/>
      <c r="J225" s="45"/>
      <c r="K225" s="46"/>
      <c r="L225" s="47"/>
    </row>
    <row r="226">
      <c r="A226" s="53"/>
      <c r="B226" s="45"/>
      <c r="C226" s="45"/>
      <c r="D226" s="45"/>
      <c r="E226" s="45"/>
      <c r="F226" s="45"/>
      <c r="G226" s="45"/>
      <c r="H226" s="44"/>
      <c r="I226" s="45"/>
      <c r="J226" s="45"/>
      <c r="K226" s="46"/>
      <c r="L226" s="47"/>
    </row>
    <row r="227">
      <c r="A227" s="53"/>
      <c r="B227" s="45"/>
      <c r="C227" s="45"/>
      <c r="D227" s="45"/>
      <c r="E227" s="45"/>
      <c r="F227" s="45"/>
      <c r="G227" s="45"/>
      <c r="H227" s="44"/>
      <c r="I227" s="45"/>
      <c r="J227" s="45"/>
      <c r="K227" s="46"/>
      <c r="L227" s="47"/>
    </row>
    <row r="228">
      <c r="A228" s="53"/>
      <c r="B228" s="45"/>
      <c r="C228" s="45"/>
      <c r="D228" s="45"/>
      <c r="E228" s="45"/>
      <c r="F228" s="45"/>
      <c r="G228" s="45"/>
      <c r="H228" s="44"/>
      <c r="I228" s="45"/>
      <c r="J228" s="45"/>
      <c r="K228" s="46"/>
      <c r="L228" s="47"/>
    </row>
    <row r="229">
      <c r="A229" s="53"/>
      <c r="B229" s="45"/>
      <c r="C229" s="45"/>
      <c r="D229" s="45"/>
      <c r="E229" s="45"/>
      <c r="F229" s="45"/>
      <c r="G229" s="45"/>
      <c r="H229" s="44"/>
      <c r="I229" s="45"/>
      <c r="J229" s="45"/>
      <c r="K229" s="46"/>
      <c r="L229" s="47"/>
    </row>
    <row r="230">
      <c r="A230" s="53"/>
      <c r="B230" s="45"/>
      <c r="C230" s="45"/>
      <c r="D230" s="45"/>
      <c r="E230" s="45"/>
      <c r="F230" s="45"/>
      <c r="G230" s="45"/>
      <c r="H230" s="44"/>
      <c r="I230" s="45"/>
      <c r="J230" s="45"/>
      <c r="K230" s="46"/>
      <c r="L230" s="47"/>
    </row>
    <row r="231">
      <c r="A231" s="53"/>
      <c r="B231" s="45"/>
      <c r="C231" s="45"/>
      <c r="D231" s="45"/>
      <c r="E231" s="45"/>
      <c r="F231" s="45"/>
      <c r="G231" s="45"/>
      <c r="H231" s="44"/>
      <c r="I231" s="45"/>
      <c r="J231" s="45"/>
      <c r="K231" s="46"/>
      <c r="L231" s="47"/>
    </row>
    <row r="232">
      <c r="A232" s="53"/>
      <c r="B232" s="45"/>
      <c r="C232" s="45"/>
      <c r="D232" s="45"/>
      <c r="E232" s="45"/>
      <c r="F232" s="45"/>
      <c r="G232" s="45"/>
      <c r="H232" s="44"/>
      <c r="I232" s="45"/>
      <c r="J232" s="45"/>
      <c r="K232" s="46"/>
      <c r="L232" s="47"/>
    </row>
    <row r="233">
      <c r="A233" s="53"/>
      <c r="B233" s="45"/>
      <c r="C233" s="45"/>
      <c r="D233" s="45"/>
      <c r="E233" s="45"/>
      <c r="F233" s="45"/>
      <c r="G233" s="45"/>
      <c r="H233" s="44"/>
      <c r="I233" s="45"/>
      <c r="J233" s="45"/>
      <c r="K233" s="46"/>
      <c r="L233" s="47"/>
    </row>
    <row r="234">
      <c r="A234" s="53"/>
      <c r="B234" s="45"/>
      <c r="C234" s="45"/>
      <c r="D234" s="45"/>
      <c r="E234" s="45"/>
      <c r="F234" s="45"/>
      <c r="G234" s="45"/>
      <c r="H234" s="44"/>
      <c r="I234" s="45"/>
      <c r="J234" s="45"/>
      <c r="K234" s="46"/>
      <c r="L234" s="47"/>
    </row>
    <row r="235">
      <c r="A235" s="53"/>
      <c r="B235" s="45"/>
      <c r="C235" s="45"/>
      <c r="D235" s="45"/>
      <c r="E235" s="45"/>
      <c r="F235" s="45"/>
      <c r="G235" s="45"/>
      <c r="H235" s="44"/>
      <c r="I235" s="45"/>
      <c r="J235" s="45"/>
      <c r="K235" s="46"/>
      <c r="L235" s="47"/>
    </row>
    <row r="236">
      <c r="A236" s="53"/>
      <c r="B236" s="45"/>
      <c r="C236" s="45"/>
      <c r="D236" s="45"/>
      <c r="E236" s="45"/>
      <c r="F236" s="45"/>
      <c r="G236" s="45"/>
      <c r="H236" s="44"/>
      <c r="I236" s="45"/>
      <c r="J236" s="45"/>
      <c r="K236" s="46"/>
      <c r="L236" s="47"/>
    </row>
    <row r="237">
      <c r="A237" s="53"/>
      <c r="B237" s="45"/>
      <c r="C237" s="45"/>
      <c r="D237" s="45"/>
      <c r="E237" s="45"/>
      <c r="F237" s="45"/>
      <c r="G237" s="45"/>
      <c r="H237" s="44"/>
      <c r="I237" s="45"/>
      <c r="J237" s="45"/>
      <c r="K237" s="46"/>
      <c r="L237" s="47"/>
    </row>
    <row r="238">
      <c r="A238" s="53"/>
      <c r="B238" s="45"/>
      <c r="C238" s="45"/>
      <c r="D238" s="45"/>
      <c r="E238" s="45"/>
      <c r="F238" s="45"/>
      <c r="G238" s="45"/>
      <c r="H238" s="44"/>
      <c r="I238" s="45"/>
      <c r="J238" s="45"/>
      <c r="K238" s="46"/>
      <c r="L238" s="47"/>
    </row>
    <row r="239">
      <c r="A239" s="53"/>
      <c r="B239" s="45"/>
      <c r="C239" s="45"/>
      <c r="D239" s="45"/>
      <c r="E239" s="45"/>
      <c r="F239" s="45"/>
      <c r="G239" s="45"/>
      <c r="H239" s="44"/>
      <c r="I239" s="45"/>
      <c r="J239" s="45"/>
      <c r="K239" s="46"/>
      <c r="L239" s="47"/>
    </row>
    <row r="240">
      <c r="A240" s="53"/>
      <c r="B240" s="45"/>
      <c r="C240" s="45"/>
      <c r="D240" s="45"/>
      <c r="E240" s="45"/>
      <c r="F240" s="45"/>
      <c r="G240" s="45"/>
      <c r="H240" s="44"/>
      <c r="I240" s="45"/>
      <c r="J240" s="45"/>
      <c r="K240" s="46"/>
      <c r="L240" s="47"/>
    </row>
    <row r="241">
      <c r="A241" s="53"/>
      <c r="B241" s="45"/>
      <c r="C241" s="45"/>
      <c r="D241" s="45"/>
      <c r="E241" s="45"/>
      <c r="F241" s="45"/>
      <c r="G241" s="45"/>
      <c r="H241" s="44"/>
      <c r="I241" s="45"/>
      <c r="J241" s="45"/>
      <c r="K241" s="46"/>
      <c r="L241" s="47"/>
    </row>
    <row r="242">
      <c r="A242" s="53"/>
      <c r="B242" s="45"/>
      <c r="C242" s="45"/>
      <c r="D242" s="45"/>
      <c r="E242" s="45"/>
      <c r="F242" s="45"/>
      <c r="G242" s="45"/>
      <c r="H242" s="44"/>
      <c r="I242" s="45"/>
      <c r="J242" s="45"/>
      <c r="K242" s="46"/>
      <c r="L242" s="47"/>
    </row>
    <row r="243">
      <c r="A243" s="53"/>
      <c r="B243" s="45"/>
      <c r="C243" s="45"/>
      <c r="D243" s="45"/>
      <c r="E243" s="45"/>
      <c r="F243" s="45"/>
      <c r="G243" s="45"/>
      <c r="H243" s="44"/>
      <c r="I243" s="45"/>
      <c r="J243" s="45"/>
      <c r="K243" s="46"/>
      <c r="L243" s="47"/>
    </row>
    <row r="244">
      <c r="A244" s="53"/>
      <c r="B244" s="45"/>
      <c r="C244" s="45"/>
      <c r="D244" s="45"/>
      <c r="E244" s="45"/>
      <c r="F244" s="45"/>
      <c r="G244" s="45"/>
      <c r="H244" s="44"/>
      <c r="I244" s="45"/>
      <c r="J244" s="45"/>
      <c r="K244" s="46"/>
      <c r="L244" s="47"/>
    </row>
    <row r="245">
      <c r="A245" s="53"/>
      <c r="B245" s="45"/>
      <c r="C245" s="45"/>
      <c r="D245" s="45"/>
      <c r="E245" s="45"/>
      <c r="F245" s="45"/>
      <c r="G245" s="45"/>
      <c r="H245" s="44"/>
      <c r="I245" s="45"/>
      <c r="J245" s="45"/>
      <c r="K245" s="46"/>
      <c r="L245" s="47"/>
    </row>
    <row r="246">
      <c r="A246" s="53"/>
      <c r="B246" s="45"/>
      <c r="C246" s="45"/>
      <c r="D246" s="45"/>
      <c r="E246" s="45"/>
      <c r="F246" s="45"/>
      <c r="G246" s="45"/>
      <c r="H246" s="44"/>
      <c r="I246" s="45"/>
      <c r="J246" s="45"/>
      <c r="K246" s="46"/>
      <c r="L246" s="47"/>
    </row>
    <row r="247">
      <c r="A247" s="53"/>
      <c r="B247" s="45"/>
      <c r="C247" s="45"/>
      <c r="D247" s="45"/>
      <c r="E247" s="45"/>
      <c r="F247" s="45"/>
      <c r="G247" s="45"/>
      <c r="H247" s="44"/>
      <c r="I247" s="45"/>
      <c r="J247" s="45"/>
      <c r="K247" s="46"/>
      <c r="L247" s="47"/>
    </row>
    <row r="248">
      <c r="A248" s="53"/>
      <c r="B248" s="45"/>
      <c r="C248" s="45"/>
      <c r="D248" s="45"/>
      <c r="E248" s="45"/>
      <c r="F248" s="45"/>
      <c r="G248" s="45"/>
      <c r="H248" s="44"/>
      <c r="I248" s="45"/>
      <c r="J248" s="45"/>
      <c r="K248" s="46"/>
      <c r="L248" s="47"/>
    </row>
    <row r="249">
      <c r="A249" s="53"/>
      <c r="B249" s="45"/>
      <c r="C249" s="45"/>
      <c r="D249" s="45"/>
      <c r="E249" s="45"/>
      <c r="F249" s="45"/>
      <c r="G249" s="45"/>
      <c r="H249" s="44"/>
      <c r="I249" s="45"/>
      <c r="J249" s="45"/>
      <c r="K249" s="46"/>
      <c r="L249" s="47"/>
    </row>
    <row r="250">
      <c r="A250" s="53"/>
      <c r="B250" s="45"/>
      <c r="C250" s="45"/>
      <c r="D250" s="45"/>
      <c r="E250" s="45"/>
      <c r="F250" s="45"/>
      <c r="G250" s="45"/>
      <c r="H250" s="44"/>
      <c r="I250" s="45"/>
      <c r="J250" s="45"/>
      <c r="K250" s="46"/>
      <c r="L250" s="47"/>
    </row>
    <row r="251">
      <c r="A251" s="53"/>
      <c r="B251" s="45"/>
      <c r="C251" s="45"/>
      <c r="D251" s="45"/>
      <c r="E251" s="45"/>
      <c r="F251" s="45"/>
      <c r="G251" s="45"/>
      <c r="H251" s="44"/>
      <c r="I251" s="45"/>
      <c r="J251" s="45"/>
      <c r="K251" s="46"/>
      <c r="L251" s="47"/>
    </row>
    <row r="252">
      <c r="A252" s="53"/>
      <c r="B252" s="45"/>
      <c r="C252" s="45"/>
      <c r="D252" s="45"/>
      <c r="E252" s="45"/>
      <c r="F252" s="45"/>
      <c r="G252" s="45"/>
      <c r="H252" s="44"/>
      <c r="I252" s="45"/>
      <c r="J252" s="45"/>
      <c r="K252" s="46"/>
      <c r="L252" s="47"/>
    </row>
    <row r="253">
      <c r="A253" s="53"/>
      <c r="B253" s="45"/>
      <c r="C253" s="45"/>
      <c r="D253" s="45"/>
      <c r="E253" s="45"/>
      <c r="F253" s="45"/>
      <c r="G253" s="45"/>
      <c r="H253" s="44"/>
      <c r="I253" s="45"/>
      <c r="J253" s="45"/>
      <c r="K253" s="46"/>
      <c r="L253" s="47"/>
    </row>
    <row r="254">
      <c r="A254" s="53"/>
      <c r="B254" s="45"/>
      <c r="C254" s="45"/>
      <c r="D254" s="45"/>
      <c r="E254" s="45"/>
      <c r="F254" s="45"/>
      <c r="G254" s="45"/>
      <c r="H254" s="44"/>
      <c r="I254" s="45"/>
      <c r="J254" s="45"/>
      <c r="K254" s="46"/>
      <c r="L254" s="47"/>
    </row>
    <row r="255">
      <c r="A255" s="53"/>
      <c r="B255" s="45"/>
      <c r="C255" s="45"/>
      <c r="D255" s="45"/>
      <c r="E255" s="45"/>
      <c r="F255" s="45"/>
      <c r="G255" s="45"/>
      <c r="H255" s="44"/>
      <c r="I255" s="45"/>
      <c r="J255" s="45"/>
      <c r="K255" s="46"/>
      <c r="L255" s="47"/>
    </row>
    <row r="256">
      <c r="A256" s="53"/>
      <c r="B256" s="45"/>
      <c r="C256" s="45"/>
      <c r="D256" s="45"/>
      <c r="E256" s="45"/>
      <c r="F256" s="45"/>
      <c r="G256" s="45"/>
      <c r="H256" s="44"/>
      <c r="I256" s="45"/>
      <c r="J256" s="45"/>
      <c r="K256" s="46"/>
      <c r="L256" s="47"/>
    </row>
    <row r="257">
      <c r="A257" s="53"/>
      <c r="B257" s="45"/>
      <c r="C257" s="45"/>
      <c r="D257" s="45"/>
      <c r="E257" s="45"/>
      <c r="F257" s="45"/>
      <c r="G257" s="45"/>
      <c r="H257" s="44"/>
      <c r="I257" s="45"/>
      <c r="J257" s="45"/>
      <c r="K257" s="46"/>
      <c r="L257" s="47"/>
    </row>
    <row r="258">
      <c r="A258" s="53"/>
      <c r="B258" s="45"/>
      <c r="C258" s="45"/>
      <c r="D258" s="45"/>
      <c r="E258" s="45"/>
      <c r="F258" s="45"/>
      <c r="G258" s="45"/>
      <c r="H258" s="44"/>
      <c r="I258" s="45"/>
      <c r="J258" s="45"/>
      <c r="K258" s="46"/>
      <c r="L258" s="47"/>
    </row>
    <row r="259">
      <c r="A259" s="53"/>
      <c r="B259" s="45"/>
      <c r="C259" s="45"/>
      <c r="D259" s="45"/>
      <c r="E259" s="45"/>
      <c r="F259" s="45"/>
      <c r="G259" s="45"/>
      <c r="H259" s="44"/>
      <c r="I259" s="45"/>
      <c r="J259" s="45"/>
      <c r="K259" s="46"/>
      <c r="L259" s="47"/>
    </row>
    <row r="260">
      <c r="A260" s="53"/>
      <c r="B260" s="45"/>
      <c r="C260" s="45"/>
      <c r="D260" s="45"/>
      <c r="E260" s="45"/>
      <c r="F260" s="45"/>
      <c r="G260" s="45"/>
      <c r="H260" s="44"/>
      <c r="I260" s="45"/>
      <c r="J260" s="45"/>
      <c r="K260" s="46"/>
      <c r="L260" s="47"/>
    </row>
    <row r="261">
      <c r="A261" s="53"/>
      <c r="B261" s="45"/>
      <c r="C261" s="45"/>
      <c r="D261" s="45"/>
      <c r="E261" s="45"/>
      <c r="F261" s="45"/>
      <c r="G261" s="45"/>
      <c r="H261" s="44"/>
      <c r="I261" s="45"/>
      <c r="J261" s="45"/>
      <c r="K261" s="46"/>
      <c r="L261" s="47"/>
    </row>
    <row r="262">
      <c r="A262" s="53"/>
      <c r="B262" s="45"/>
      <c r="C262" s="45"/>
      <c r="D262" s="45"/>
      <c r="E262" s="45"/>
      <c r="F262" s="45"/>
      <c r="G262" s="45"/>
      <c r="H262" s="44"/>
      <c r="I262" s="45"/>
      <c r="J262" s="45"/>
      <c r="K262" s="46"/>
      <c r="L262" s="47"/>
    </row>
    <row r="263">
      <c r="A263" s="53"/>
      <c r="B263" s="45"/>
      <c r="C263" s="45"/>
      <c r="D263" s="45"/>
      <c r="E263" s="45"/>
      <c r="F263" s="45"/>
      <c r="G263" s="45"/>
      <c r="H263" s="44"/>
      <c r="I263" s="45"/>
      <c r="J263" s="45"/>
      <c r="K263" s="46"/>
      <c r="L263" s="47"/>
    </row>
    <row r="264">
      <c r="A264" s="53"/>
      <c r="B264" s="45"/>
      <c r="C264" s="45"/>
      <c r="D264" s="45"/>
      <c r="E264" s="45"/>
      <c r="F264" s="45"/>
      <c r="G264" s="45"/>
      <c r="H264" s="44"/>
      <c r="I264" s="45"/>
      <c r="J264" s="45"/>
      <c r="K264" s="46"/>
      <c r="L264" s="47"/>
    </row>
    <row r="265">
      <c r="A265" s="53"/>
      <c r="B265" s="45"/>
      <c r="C265" s="45"/>
      <c r="D265" s="45"/>
      <c r="E265" s="45"/>
      <c r="F265" s="45"/>
      <c r="G265" s="45"/>
      <c r="H265" s="44"/>
      <c r="I265" s="45"/>
      <c r="J265" s="45"/>
      <c r="K265" s="46"/>
      <c r="L265" s="47"/>
    </row>
    <row r="266">
      <c r="A266" s="53"/>
      <c r="B266" s="45"/>
      <c r="C266" s="45"/>
      <c r="D266" s="45"/>
      <c r="E266" s="45"/>
      <c r="F266" s="45"/>
      <c r="G266" s="45"/>
      <c r="H266" s="44"/>
      <c r="I266" s="45"/>
      <c r="J266" s="45"/>
      <c r="K266" s="46"/>
      <c r="L266" s="47"/>
    </row>
    <row r="267">
      <c r="A267" s="53"/>
      <c r="B267" s="45"/>
      <c r="C267" s="45"/>
      <c r="D267" s="45"/>
      <c r="E267" s="45"/>
      <c r="F267" s="45"/>
      <c r="G267" s="45"/>
      <c r="H267" s="44"/>
      <c r="I267" s="45"/>
      <c r="J267" s="45"/>
      <c r="K267" s="46"/>
      <c r="L267" s="47"/>
    </row>
    <row r="268">
      <c r="A268" s="53"/>
      <c r="B268" s="45"/>
      <c r="C268" s="45"/>
      <c r="D268" s="45"/>
      <c r="E268" s="45"/>
      <c r="F268" s="45"/>
      <c r="G268" s="45"/>
      <c r="H268" s="44"/>
      <c r="I268" s="45"/>
      <c r="J268" s="45"/>
      <c r="K268" s="46"/>
      <c r="L268" s="47"/>
    </row>
    <row r="269">
      <c r="A269" s="53"/>
      <c r="B269" s="45"/>
      <c r="C269" s="45"/>
      <c r="D269" s="45"/>
      <c r="E269" s="45"/>
      <c r="F269" s="45"/>
      <c r="G269" s="45"/>
      <c r="H269" s="44"/>
      <c r="I269" s="45"/>
      <c r="J269" s="45"/>
      <c r="K269" s="46"/>
      <c r="L269" s="47"/>
    </row>
    <row r="270">
      <c r="A270" s="53"/>
      <c r="B270" s="45"/>
      <c r="C270" s="45"/>
      <c r="D270" s="45"/>
      <c r="E270" s="45"/>
      <c r="F270" s="45"/>
      <c r="G270" s="45"/>
      <c r="H270" s="44"/>
      <c r="I270" s="45"/>
      <c r="J270" s="45"/>
      <c r="K270" s="46"/>
      <c r="L270" s="47"/>
    </row>
    <row r="271">
      <c r="A271" s="53"/>
      <c r="B271" s="45"/>
      <c r="C271" s="45"/>
      <c r="D271" s="45"/>
      <c r="E271" s="45"/>
      <c r="F271" s="45"/>
      <c r="G271" s="45"/>
      <c r="H271" s="44"/>
      <c r="I271" s="45"/>
      <c r="J271" s="45"/>
      <c r="K271" s="46"/>
      <c r="L271" s="47"/>
    </row>
    <row r="272">
      <c r="A272" s="53"/>
      <c r="B272" s="45"/>
      <c r="C272" s="45"/>
      <c r="D272" s="45"/>
      <c r="E272" s="45"/>
      <c r="F272" s="45"/>
      <c r="G272" s="45"/>
      <c r="H272" s="44"/>
      <c r="I272" s="45"/>
      <c r="J272" s="45"/>
      <c r="K272" s="46"/>
      <c r="L272" s="47"/>
    </row>
    <row r="273">
      <c r="A273" s="53"/>
      <c r="B273" s="45"/>
      <c r="C273" s="45"/>
      <c r="D273" s="45"/>
      <c r="E273" s="45"/>
      <c r="F273" s="45"/>
      <c r="G273" s="45"/>
      <c r="H273" s="44"/>
      <c r="I273" s="45"/>
      <c r="J273" s="45"/>
      <c r="K273" s="46"/>
      <c r="L273" s="47"/>
    </row>
    <row r="274">
      <c r="A274" s="53"/>
      <c r="B274" s="45"/>
      <c r="C274" s="45"/>
      <c r="D274" s="45"/>
      <c r="E274" s="45"/>
      <c r="F274" s="45"/>
      <c r="G274" s="45"/>
      <c r="H274" s="44"/>
      <c r="I274" s="45"/>
      <c r="J274" s="45"/>
      <c r="K274" s="46"/>
      <c r="L274" s="47"/>
    </row>
    <row r="275">
      <c r="A275" s="53"/>
      <c r="B275" s="45"/>
      <c r="C275" s="45"/>
      <c r="D275" s="45"/>
      <c r="E275" s="45"/>
      <c r="F275" s="45"/>
      <c r="G275" s="45"/>
      <c r="H275" s="44"/>
      <c r="I275" s="45"/>
      <c r="J275" s="45"/>
      <c r="K275" s="46"/>
      <c r="L275" s="47"/>
    </row>
    <row r="276">
      <c r="A276" s="53"/>
      <c r="B276" s="45"/>
      <c r="C276" s="45"/>
      <c r="D276" s="45"/>
      <c r="E276" s="45"/>
      <c r="F276" s="45"/>
      <c r="G276" s="45"/>
      <c r="H276" s="44"/>
      <c r="I276" s="45"/>
      <c r="J276" s="45"/>
      <c r="K276" s="46"/>
      <c r="L276" s="47"/>
    </row>
    <row r="277">
      <c r="A277" s="53"/>
      <c r="B277" s="45"/>
      <c r="C277" s="45"/>
      <c r="D277" s="45"/>
      <c r="E277" s="45"/>
      <c r="F277" s="45"/>
      <c r="G277" s="45"/>
      <c r="H277" s="44"/>
      <c r="I277" s="45"/>
      <c r="J277" s="45"/>
      <c r="K277" s="46"/>
      <c r="L277" s="47"/>
    </row>
    <row r="278">
      <c r="A278" s="53"/>
      <c r="B278" s="45"/>
      <c r="C278" s="45"/>
      <c r="D278" s="45"/>
      <c r="E278" s="45"/>
      <c r="F278" s="45"/>
      <c r="G278" s="45"/>
      <c r="H278" s="44"/>
      <c r="I278" s="45"/>
      <c r="J278" s="45"/>
      <c r="K278" s="46"/>
      <c r="L278" s="47"/>
    </row>
    <row r="279">
      <c r="A279" s="53"/>
      <c r="B279" s="45"/>
      <c r="C279" s="45"/>
      <c r="D279" s="45"/>
      <c r="E279" s="45"/>
      <c r="F279" s="45"/>
      <c r="G279" s="45"/>
      <c r="H279" s="44"/>
      <c r="I279" s="45"/>
      <c r="J279" s="45"/>
      <c r="K279" s="46"/>
      <c r="L279" s="47"/>
    </row>
    <row r="280">
      <c r="A280" s="53"/>
      <c r="B280" s="45"/>
      <c r="C280" s="45"/>
      <c r="D280" s="45"/>
      <c r="E280" s="45"/>
      <c r="F280" s="45"/>
      <c r="G280" s="45"/>
      <c r="H280" s="44"/>
      <c r="I280" s="45"/>
      <c r="J280" s="45"/>
      <c r="K280" s="46"/>
      <c r="L280" s="47"/>
    </row>
    <row r="281">
      <c r="A281" s="53"/>
      <c r="B281" s="45"/>
      <c r="C281" s="45"/>
      <c r="D281" s="45"/>
      <c r="E281" s="45"/>
      <c r="F281" s="45"/>
      <c r="G281" s="45"/>
      <c r="H281" s="44"/>
      <c r="I281" s="45"/>
      <c r="J281" s="45"/>
      <c r="K281" s="46"/>
      <c r="L281" s="47"/>
    </row>
    <row r="282">
      <c r="A282" s="53"/>
      <c r="B282" s="45"/>
      <c r="C282" s="45"/>
      <c r="D282" s="45"/>
      <c r="E282" s="45"/>
      <c r="F282" s="45"/>
      <c r="G282" s="45"/>
      <c r="H282" s="44"/>
      <c r="I282" s="45"/>
      <c r="J282" s="45"/>
      <c r="K282" s="46"/>
      <c r="L282" s="47"/>
    </row>
    <row r="283">
      <c r="A283" s="53"/>
      <c r="B283" s="45"/>
      <c r="C283" s="45"/>
      <c r="D283" s="45"/>
      <c r="E283" s="45"/>
      <c r="F283" s="45"/>
      <c r="G283" s="45"/>
      <c r="H283" s="44"/>
      <c r="I283" s="45"/>
      <c r="J283" s="45"/>
      <c r="K283" s="46"/>
      <c r="L283" s="47"/>
    </row>
    <row r="284">
      <c r="A284" s="53"/>
      <c r="B284" s="45"/>
      <c r="C284" s="45"/>
      <c r="D284" s="45"/>
      <c r="E284" s="45"/>
      <c r="F284" s="45"/>
      <c r="G284" s="45"/>
      <c r="H284" s="44"/>
      <c r="I284" s="45"/>
      <c r="J284" s="45"/>
      <c r="K284" s="46"/>
      <c r="L284" s="47"/>
    </row>
    <row r="285">
      <c r="A285" s="53"/>
      <c r="B285" s="45"/>
      <c r="C285" s="45"/>
      <c r="D285" s="45"/>
      <c r="E285" s="45"/>
      <c r="F285" s="45"/>
      <c r="G285" s="45"/>
      <c r="H285" s="44"/>
      <c r="I285" s="45"/>
      <c r="J285" s="45"/>
      <c r="K285" s="46"/>
      <c r="L285" s="47"/>
    </row>
    <row r="286">
      <c r="A286" s="53"/>
      <c r="B286" s="45"/>
      <c r="C286" s="45"/>
      <c r="D286" s="45"/>
      <c r="E286" s="45"/>
      <c r="F286" s="45"/>
      <c r="G286" s="45"/>
      <c r="H286" s="44"/>
      <c r="I286" s="45"/>
      <c r="J286" s="45"/>
      <c r="K286" s="46"/>
      <c r="L286" s="47"/>
    </row>
    <row r="287">
      <c r="A287" s="53"/>
      <c r="B287" s="45"/>
      <c r="C287" s="45"/>
      <c r="D287" s="45"/>
      <c r="E287" s="45"/>
      <c r="F287" s="45"/>
      <c r="G287" s="45"/>
      <c r="H287" s="44"/>
      <c r="I287" s="45"/>
      <c r="J287" s="45"/>
      <c r="K287" s="46"/>
      <c r="L287" s="47"/>
    </row>
    <row r="288">
      <c r="A288" s="53"/>
      <c r="B288" s="45"/>
      <c r="C288" s="45"/>
      <c r="D288" s="45"/>
      <c r="E288" s="45"/>
      <c r="F288" s="45"/>
      <c r="G288" s="45"/>
      <c r="H288" s="44"/>
      <c r="I288" s="45"/>
      <c r="J288" s="45"/>
      <c r="K288" s="46"/>
      <c r="L288" s="47"/>
    </row>
    <row r="289">
      <c r="A289" s="53"/>
      <c r="B289" s="45"/>
      <c r="C289" s="45"/>
      <c r="D289" s="45"/>
      <c r="E289" s="45"/>
      <c r="F289" s="45"/>
      <c r="G289" s="45"/>
      <c r="H289" s="44"/>
      <c r="I289" s="45"/>
      <c r="J289" s="45"/>
      <c r="K289" s="46"/>
      <c r="L289" s="47"/>
    </row>
    <row r="290">
      <c r="A290" s="53"/>
      <c r="B290" s="45"/>
      <c r="C290" s="45"/>
      <c r="D290" s="45"/>
      <c r="E290" s="45"/>
      <c r="F290" s="45"/>
      <c r="G290" s="45"/>
      <c r="H290" s="44"/>
      <c r="I290" s="45"/>
      <c r="J290" s="45"/>
      <c r="K290" s="46"/>
      <c r="L290" s="47"/>
    </row>
    <row r="291">
      <c r="A291" s="53"/>
      <c r="B291" s="45"/>
      <c r="C291" s="45"/>
      <c r="D291" s="45"/>
      <c r="E291" s="45"/>
      <c r="F291" s="45"/>
      <c r="G291" s="45"/>
      <c r="H291" s="44"/>
      <c r="I291" s="45"/>
      <c r="J291" s="45"/>
      <c r="K291" s="46"/>
      <c r="L291" s="47"/>
    </row>
    <row r="292">
      <c r="A292" s="53"/>
      <c r="B292" s="45"/>
      <c r="C292" s="45"/>
      <c r="D292" s="45"/>
      <c r="E292" s="45"/>
      <c r="F292" s="45"/>
      <c r="G292" s="45"/>
      <c r="H292" s="44"/>
      <c r="I292" s="45"/>
      <c r="J292" s="45"/>
      <c r="K292" s="46"/>
      <c r="L292" s="47"/>
    </row>
    <row r="293">
      <c r="A293" s="53"/>
      <c r="B293" s="45"/>
      <c r="C293" s="45"/>
      <c r="D293" s="45"/>
      <c r="E293" s="45"/>
      <c r="F293" s="45"/>
      <c r="G293" s="45"/>
      <c r="H293" s="44"/>
      <c r="I293" s="45"/>
      <c r="J293" s="45"/>
      <c r="K293" s="46"/>
      <c r="L293" s="47"/>
    </row>
    <row r="294">
      <c r="A294" s="53"/>
      <c r="B294" s="45"/>
      <c r="C294" s="45"/>
      <c r="D294" s="45"/>
      <c r="E294" s="45"/>
      <c r="F294" s="45"/>
      <c r="G294" s="45"/>
      <c r="H294" s="44"/>
      <c r="I294" s="45"/>
      <c r="J294" s="45"/>
      <c r="K294" s="46"/>
      <c r="L294" s="47"/>
    </row>
    <row r="295">
      <c r="A295" s="53"/>
      <c r="B295" s="45"/>
      <c r="C295" s="45"/>
      <c r="D295" s="45"/>
      <c r="E295" s="45"/>
      <c r="F295" s="45"/>
      <c r="G295" s="45"/>
      <c r="H295" s="44"/>
      <c r="I295" s="45"/>
      <c r="J295" s="45"/>
      <c r="K295" s="46"/>
      <c r="L295" s="47"/>
    </row>
    <row r="296">
      <c r="A296" s="53"/>
      <c r="B296" s="45"/>
      <c r="C296" s="45"/>
      <c r="D296" s="45"/>
      <c r="E296" s="45"/>
      <c r="F296" s="45"/>
      <c r="G296" s="45"/>
      <c r="H296" s="44"/>
      <c r="I296" s="45"/>
      <c r="J296" s="45"/>
      <c r="K296" s="46"/>
      <c r="L296" s="47"/>
    </row>
    <row r="297">
      <c r="A297" s="53"/>
      <c r="B297" s="45"/>
      <c r="C297" s="45"/>
      <c r="D297" s="45"/>
      <c r="E297" s="45"/>
      <c r="F297" s="45"/>
      <c r="G297" s="45"/>
      <c r="H297" s="44"/>
      <c r="I297" s="45"/>
      <c r="J297" s="45"/>
      <c r="K297" s="46"/>
      <c r="L297" s="47"/>
    </row>
    <row r="298">
      <c r="A298" s="53"/>
      <c r="B298" s="45"/>
      <c r="C298" s="45"/>
      <c r="D298" s="45"/>
      <c r="E298" s="45"/>
      <c r="F298" s="45"/>
      <c r="G298" s="45"/>
      <c r="H298" s="44"/>
      <c r="I298" s="45"/>
      <c r="J298" s="45"/>
      <c r="K298" s="46"/>
      <c r="L298" s="47"/>
    </row>
    <row r="299">
      <c r="A299" s="53"/>
      <c r="B299" s="45"/>
      <c r="C299" s="45"/>
      <c r="D299" s="45"/>
      <c r="E299" s="45"/>
      <c r="F299" s="45"/>
      <c r="G299" s="45"/>
      <c r="H299" s="44"/>
      <c r="I299" s="45"/>
      <c r="J299" s="45"/>
      <c r="K299" s="46"/>
      <c r="L299" s="47"/>
    </row>
    <row r="300">
      <c r="A300" s="53"/>
      <c r="B300" s="45"/>
      <c r="C300" s="45"/>
      <c r="D300" s="45"/>
      <c r="E300" s="45"/>
      <c r="F300" s="45"/>
      <c r="G300" s="45"/>
      <c r="H300" s="44"/>
      <c r="I300" s="45"/>
      <c r="J300" s="45"/>
      <c r="K300" s="46"/>
      <c r="L300" s="47"/>
    </row>
    <row r="301">
      <c r="A301" s="53"/>
      <c r="B301" s="45"/>
      <c r="C301" s="45"/>
      <c r="D301" s="45"/>
      <c r="E301" s="45"/>
      <c r="F301" s="45"/>
      <c r="G301" s="45"/>
      <c r="H301" s="44"/>
      <c r="I301" s="45"/>
      <c r="J301" s="45"/>
      <c r="K301" s="46"/>
      <c r="L301" s="47"/>
    </row>
    <row r="302">
      <c r="A302" s="53"/>
      <c r="B302" s="45"/>
      <c r="C302" s="45"/>
      <c r="D302" s="45"/>
      <c r="E302" s="45"/>
      <c r="F302" s="45"/>
      <c r="G302" s="45"/>
      <c r="H302" s="44"/>
      <c r="I302" s="45"/>
      <c r="J302" s="45"/>
      <c r="K302" s="46"/>
      <c r="L302" s="47"/>
    </row>
    <row r="303">
      <c r="A303" s="53"/>
      <c r="B303" s="45"/>
      <c r="C303" s="45"/>
      <c r="D303" s="45"/>
      <c r="E303" s="45"/>
      <c r="F303" s="45"/>
      <c r="G303" s="45"/>
      <c r="H303" s="44"/>
      <c r="I303" s="45"/>
      <c r="J303" s="45"/>
      <c r="K303" s="46"/>
      <c r="L303" s="47"/>
    </row>
    <row r="304">
      <c r="A304" s="53"/>
      <c r="B304" s="45"/>
      <c r="C304" s="45"/>
      <c r="D304" s="45"/>
      <c r="E304" s="45"/>
      <c r="F304" s="45"/>
      <c r="G304" s="45"/>
      <c r="H304" s="44"/>
      <c r="I304" s="45"/>
      <c r="J304" s="45"/>
      <c r="K304" s="46"/>
      <c r="L304" s="47"/>
    </row>
    <row r="305">
      <c r="A305" s="53"/>
      <c r="B305" s="45"/>
      <c r="C305" s="45"/>
      <c r="D305" s="45"/>
      <c r="E305" s="45"/>
      <c r="F305" s="45"/>
      <c r="G305" s="45"/>
      <c r="H305" s="44"/>
      <c r="I305" s="45"/>
      <c r="J305" s="45"/>
      <c r="K305" s="46"/>
      <c r="L305" s="47"/>
    </row>
    <row r="306">
      <c r="A306" s="53"/>
      <c r="B306" s="45"/>
      <c r="C306" s="45"/>
      <c r="D306" s="45"/>
      <c r="E306" s="45"/>
      <c r="F306" s="45"/>
      <c r="G306" s="45"/>
      <c r="H306" s="44"/>
      <c r="I306" s="45"/>
      <c r="J306" s="45"/>
      <c r="K306" s="46"/>
      <c r="L306" s="47"/>
    </row>
    <row r="307">
      <c r="A307" s="53"/>
      <c r="B307" s="45"/>
      <c r="C307" s="45"/>
      <c r="D307" s="45"/>
      <c r="E307" s="45"/>
      <c r="F307" s="45"/>
      <c r="G307" s="45"/>
      <c r="H307" s="44"/>
      <c r="I307" s="45"/>
      <c r="J307" s="45"/>
      <c r="K307" s="46"/>
      <c r="L307" s="47"/>
    </row>
    <row r="308">
      <c r="A308" s="53"/>
      <c r="B308" s="45"/>
      <c r="C308" s="45"/>
      <c r="D308" s="45"/>
      <c r="E308" s="45"/>
      <c r="F308" s="45"/>
      <c r="G308" s="45"/>
      <c r="H308" s="44"/>
      <c r="I308" s="45"/>
      <c r="J308" s="45"/>
      <c r="K308" s="46"/>
      <c r="L308" s="47"/>
    </row>
    <row r="309">
      <c r="A309" s="53"/>
      <c r="B309" s="45"/>
      <c r="C309" s="45"/>
      <c r="D309" s="45"/>
      <c r="E309" s="45"/>
      <c r="F309" s="45"/>
      <c r="G309" s="45"/>
      <c r="H309" s="44"/>
      <c r="I309" s="45"/>
      <c r="J309" s="45"/>
      <c r="K309" s="46"/>
      <c r="L309" s="47"/>
    </row>
    <row r="310">
      <c r="A310" s="53"/>
      <c r="B310" s="45"/>
      <c r="C310" s="45"/>
      <c r="D310" s="45"/>
      <c r="E310" s="45"/>
      <c r="F310" s="45"/>
      <c r="G310" s="45"/>
      <c r="H310" s="44"/>
      <c r="I310" s="45"/>
      <c r="J310" s="45"/>
      <c r="K310" s="46"/>
      <c r="L310" s="47"/>
    </row>
    <row r="311">
      <c r="A311" s="53"/>
      <c r="B311" s="45"/>
      <c r="C311" s="45"/>
      <c r="D311" s="45"/>
      <c r="E311" s="45"/>
      <c r="F311" s="45"/>
      <c r="G311" s="45"/>
      <c r="H311" s="44"/>
      <c r="I311" s="45"/>
      <c r="J311" s="45"/>
      <c r="K311" s="46"/>
      <c r="L311" s="47"/>
    </row>
    <row r="312">
      <c r="A312" s="53"/>
      <c r="B312" s="45"/>
      <c r="C312" s="45"/>
      <c r="D312" s="45"/>
      <c r="E312" s="45"/>
      <c r="F312" s="45"/>
      <c r="G312" s="45"/>
      <c r="H312" s="44"/>
      <c r="I312" s="45"/>
      <c r="J312" s="45"/>
      <c r="K312" s="46"/>
      <c r="L312" s="47"/>
    </row>
    <row r="313">
      <c r="A313" s="53"/>
      <c r="B313" s="45"/>
      <c r="C313" s="45"/>
      <c r="D313" s="45"/>
      <c r="E313" s="45"/>
      <c r="F313" s="45"/>
      <c r="G313" s="45"/>
      <c r="H313" s="44"/>
      <c r="I313" s="45"/>
      <c r="J313" s="45"/>
      <c r="K313" s="46"/>
      <c r="L313" s="47"/>
    </row>
    <row r="314">
      <c r="A314" s="53"/>
      <c r="B314" s="45"/>
      <c r="C314" s="45"/>
      <c r="D314" s="45"/>
      <c r="E314" s="45"/>
      <c r="F314" s="45"/>
      <c r="G314" s="45"/>
      <c r="H314" s="44"/>
      <c r="I314" s="45"/>
      <c r="J314" s="45"/>
      <c r="K314" s="46"/>
      <c r="L314" s="47"/>
    </row>
    <row r="315">
      <c r="A315" s="53"/>
      <c r="B315" s="45"/>
      <c r="C315" s="45"/>
      <c r="D315" s="45"/>
      <c r="E315" s="45"/>
      <c r="F315" s="45"/>
      <c r="G315" s="45"/>
      <c r="H315" s="44"/>
      <c r="I315" s="45"/>
      <c r="J315" s="45"/>
      <c r="K315" s="46"/>
      <c r="L315" s="47"/>
    </row>
    <row r="316">
      <c r="A316" s="53"/>
      <c r="B316" s="45"/>
      <c r="C316" s="45"/>
      <c r="D316" s="45"/>
      <c r="E316" s="45"/>
      <c r="F316" s="45"/>
      <c r="G316" s="45"/>
      <c r="H316" s="44"/>
      <c r="I316" s="45"/>
      <c r="J316" s="45"/>
      <c r="K316" s="46"/>
      <c r="L316" s="47"/>
    </row>
    <row r="317">
      <c r="A317" s="53"/>
      <c r="B317" s="45"/>
      <c r="C317" s="45"/>
      <c r="D317" s="45"/>
      <c r="E317" s="45"/>
      <c r="F317" s="45"/>
      <c r="G317" s="45"/>
      <c r="H317" s="44"/>
      <c r="I317" s="45"/>
      <c r="J317" s="45"/>
      <c r="K317" s="46"/>
      <c r="L317" s="47"/>
    </row>
    <row r="318">
      <c r="A318" s="53"/>
      <c r="B318" s="45"/>
      <c r="C318" s="45"/>
      <c r="D318" s="45"/>
      <c r="E318" s="45"/>
      <c r="F318" s="45"/>
      <c r="G318" s="45"/>
      <c r="H318" s="44"/>
      <c r="I318" s="45"/>
      <c r="J318" s="45"/>
      <c r="K318" s="46"/>
      <c r="L318" s="47"/>
    </row>
    <row r="319">
      <c r="A319" s="53"/>
      <c r="B319" s="45"/>
      <c r="C319" s="45"/>
      <c r="D319" s="45"/>
      <c r="E319" s="45"/>
      <c r="F319" s="45"/>
      <c r="G319" s="45"/>
      <c r="H319" s="44"/>
      <c r="I319" s="45"/>
      <c r="J319" s="45"/>
      <c r="K319" s="46"/>
      <c r="L319" s="47"/>
    </row>
    <row r="320">
      <c r="A320" s="53"/>
      <c r="B320" s="45"/>
      <c r="C320" s="45"/>
      <c r="D320" s="45"/>
      <c r="E320" s="45"/>
      <c r="F320" s="45"/>
      <c r="G320" s="45"/>
      <c r="H320" s="44"/>
      <c r="I320" s="45"/>
      <c r="J320" s="45"/>
      <c r="K320" s="46"/>
      <c r="L320" s="47"/>
    </row>
    <row r="321">
      <c r="A321" s="53"/>
      <c r="B321" s="45"/>
      <c r="C321" s="45"/>
      <c r="D321" s="45"/>
      <c r="E321" s="45"/>
      <c r="F321" s="45"/>
      <c r="G321" s="45"/>
      <c r="H321" s="44"/>
      <c r="I321" s="45"/>
      <c r="J321" s="45"/>
      <c r="K321" s="46"/>
      <c r="L321" s="47"/>
    </row>
    <row r="322">
      <c r="A322" s="53"/>
      <c r="B322" s="45"/>
      <c r="C322" s="45"/>
      <c r="D322" s="45"/>
      <c r="E322" s="45"/>
      <c r="F322" s="45"/>
      <c r="G322" s="45"/>
      <c r="H322" s="44"/>
      <c r="I322" s="45"/>
      <c r="J322" s="45"/>
      <c r="K322" s="46"/>
      <c r="L322" s="47"/>
    </row>
    <row r="323">
      <c r="A323" s="53"/>
      <c r="B323" s="45"/>
      <c r="C323" s="45"/>
      <c r="D323" s="45"/>
      <c r="E323" s="45"/>
      <c r="F323" s="45"/>
      <c r="G323" s="45"/>
      <c r="H323" s="44"/>
      <c r="I323" s="45"/>
      <c r="J323" s="45"/>
      <c r="K323" s="46"/>
      <c r="L323" s="47"/>
    </row>
    <row r="324">
      <c r="A324" s="53"/>
      <c r="B324" s="45"/>
      <c r="C324" s="45"/>
      <c r="D324" s="45"/>
      <c r="E324" s="45"/>
      <c r="F324" s="45"/>
      <c r="G324" s="45"/>
      <c r="H324" s="44"/>
      <c r="I324" s="45"/>
      <c r="J324" s="45"/>
      <c r="K324" s="46"/>
      <c r="L324" s="47"/>
    </row>
    <row r="325">
      <c r="A325" s="53"/>
      <c r="B325" s="45"/>
      <c r="C325" s="45"/>
      <c r="D325" s="45"/>
      <c r="E325" s="45"/>
      <c r="F325" s="45"/>
      <c r="G325" s="45"/>
      <c r="H325" s="44"/>
      <c r="I325" s="45"/>
      <c r="J325" s="45"/>
      <c r="K325" s="46"/>
      <c r="L325" s="47"/>
    </row>
    <row r="326">
      <c r="A326" s="53"/>
      <c r="B326" s="45"/>
      <c r="C326" s="45"/>
      <c r="D326" s="45"/>
      <c r="E326" s="45"/>
      <c r="F326" s="45"/>
      <c r="G326" s="45"/>
      <c r="H326" s="44"/>
      <c r="I326" s="45"/>
      <c r="J326" s="45"/>
      <c r="K326" s="46"/>
      <c r="L326" s="47"/>
    </row>
    <row r="327">
      <c r="A327" s="53"/>
      <c r="B327" s="45"/>
      <c r="C327" s="45"/>
      <c r="D327" s="45"/>
      <c r="E327" s="45"/>
      <c r="F327" s="45"/>
      <c r="G327" s="45"/>
      <c r="H327" s="44"/>
      <c r="I327" s="45"/>
      <c r="J327" s="45"/>
      <c r="K327" s="46"/>
      <c r="L327" s="47"/>
    </row>
    <row r="328">
      <c r="A328" s="53"/>
      <c r="B328" s="45"/>
      <c r="C328" s="45"/>
      <c r="D328" s="45"/>
      <c r="E328" s="45"/>
      <c r="F328" s="45"/>
      <c r="G328" s="45"/>
      <c r="H328" s="44"/>
      <c r="I328" s="45"/>
      <c r="J328" s="45"/>
      <c r="K328" s="46"/>
      <c r="L328" s="47"/>
    </row>
    <row r="329">
      <c r="A329" s="53"/>
      <c r="B329" s="45"/>
      <c r="C329" s="45"/>
      <c r="D329" s="45"/>
      <c r="E329" s="45"/>
      <c r="F329" s="45"/>
      <c r="G329" s="45"/>
      <c r="H329" s="44"/>
      <c r="I329" s="45"/>
      <c r="J329" s="45"/>
      <c r="K329" s="46"/>
      <c r="L329" s="47"/>
    </row>
    <row r="330">
      <c r="A330" s="53"/>
      <c r="B330" s="45"/>
      <c r="C330" s="45"/>
      <c r="D330" s="45"/>
      <c r="E330" s="45"/>
      <c r="F330" s="45"/>
      <c r="G330" s="45"/>
      <c r="H330" s="44"/>
      <c r="I330" s="45"/>
      <c r="J330" s="45"/>
      <c r="K330" s="46"/>
      <c r="L330" s="47"/>
    </row>
    <row r="331">
      <c r="A331" s="53"/>
      <c r="B331" s="45"/>
      <c r="C331" s="45"/>
      <c r="D331" s="45"/>
      <c r="E331" s="45"/>
      <c r="F331" s="45"/>
      <c r="G331" s="45"/>
      <c r="H331" s="44"/>
      <c r="I331" s="45"/>
      <c r="J331" s="45"/>
      <c r="K331" s="46"/>
      <c r="L331" s="47"/>
    </row>
    <row r="332">
      <c r="A332" s="53"/>
      <c r="B332" s="45"/>
      <c r="C332" s="45"/>
      <c r="D332" s="45"/>
      <c r="E332" s="45"/>
      <c r="F332" s="45"/>
      <c r="G332" s="45"/>
      <c r="H332" s="44"/>
      <c r="I332" s="45"/>
      <c r="J332" s="45"/>
      <c r="K332" s="46"/>
      <c r="L332" s="47"/>
    </row>
    <row r="333">
      <c r="A333" s="53"/>
      <c r="B333" s="45"/>
      <c r="C333" s="45"/>
      <c r="D333" s="45"/>
      <c r="E333" s="45"/>
      <c r="F333" s="45"/>
      <c r="G333" s="45"/>
      <c r="H333" s="44"/>
      <c r="I333" s="45"/>
      <c r="J333" s="45"/>
      <c r="K333" s="46"/>
      <c r="L333" s="47"/>
    </row>
    <row r="334">
      <c r="A334" s="53"/>
      <c r="B334" s="45"/>
      <c r="C334" s="45"/>
      <c r="D334" s="45"/>
      <c r="E334" s="45"/>
      <c r="F334" s="45"/>
      <c r="G334" s="45"/>
      <c r="H334" s="44"/>
      <c r="I334" s="45"/>
      <c r="J334" s="45"/>
      <c r="K334" s="46"/>
      <c r="L334" s="47"/>
    </row>
    <row r="335">
      <c r="A335" s="53"/>
      <c r="B335" s="45"/>
      <c r="C335" s="45"/>
      <c r="D335" s="45"/>
      <c r="E335" s="45"/>
      <c r="F335" s="45"/>
      <c r="G335" s="45"/>
      <c r="H335" s="44"/>
      <c r="I335" s="45"/>
      <c r="J335" s="45"/>
      <c r="K335" s="46"/>
      <c r="L335" s="47"/>
    </row>
    <row r="336">
      <c r="A336" s="53"/>
      <c r="B336" s="45"/>
      <c r="C336" s="45"/>
      <c r="D336" s="45"/>
      <c r="E336" s="45"/>
      <c r="F336" s="45"/>
      <c r="G336" s="45"/>
      <c r="H336" s="44"/>
      <c r="I336" s="45"/>
      <c r="J336" s="45"/>
      <c r="K336" s="46"/>
      <c r="L336" s="47"/>
    </row>
    <row r="337">
      <c r="A337" s="53"/>
      <c r="B337" s="45"/>
      <c r="C337" s="45"/>
      <c r="D337" s="45"/>
      <c r="E337" s="45"/>
      <c r="F337" s="45"/>
      <c r="G337" s="45"/>
      <c r="H337" s="44"/>
      <c r="I337" s="45"/>
      <c r="J337" s="45"/>
      <c r="K337" s="46"/>
      <c r="L337" s="47"/>
    </row>
    <row r="338">
      <c r="A338" s="53"/>
      <c r="B338" s="45"/>
      <c r="C338" s="45"/>
      <c r="D338" s="45"/>
      <c r="E338" s="45"/>
      <c r="F338" s="45"/>
      <c r="G338" s="45"/>
      <c r="H338" s="44"/>
      <c r="I338" s="45"/>
      <c r="J338" s="45"/>
      <c r="K338" s="46"/>
      <c r="L338" s="47"/>
    </row>
    <row r="339">
      <c r="A339" s="53"/>
      <c r="B339" s="45"/>
      <c r="C339" s="45"/>
      <c r="D339" s="45"/>
      <c r="E339" s="45"/>
      <c r="F339" s="45"/>
      <c r="G339" s="45"/>
      <c r="H339" s="44"/>
      <c r="I339" s="45"/>
      <c r="J339" s="45"/>
      <c r="K339" s="46"/>
      <c r="L339" s="47"/>
    </row>
    <row r="340">
      <c r="A340" s="53"/>
      <c r="B340" s="45"/>
      <c r="C340" s="45"/>
      <c r="D340" s="45"/>
      <c r="E340" s="45"/>
      <c r="F340" s="45"/>
      <c r="G340" s="45"/>
      <c r="H340" s="44"/>
      <c r="I340" s="45"/>
      <c r="J340" s="45"/>
      <c r="K340" s="46"/>
      <c r="L340" s="47"/>
    </row>
    <row r="341">
      <c r="A341" s="53"/>
      <c r="B341" s="45"/>
      <c r="C341" s="45"/>
      <c r="D341" s="45"/>
      <c r="E341" s="45"/>
      <c r="F341" s="45"/>
      <c r="G341" s="45"/>
      <c r="H341" s="44"/>
      <c r="I341" s="45"/>
      <c r="J341" s="45"/>
      <c r="K341" s="46"/>
      <c r="L341" s="47"/>
    </row>
    <row r="342">
      <c r="A342" s="53"/>
      <c r="B342" s="45"/>
      <c r="C342" s="45"/>
      <c r="D342" s="45"/>
      <c r="E342" s="45"/>
      <c r="F342" s="45"/>
      <c r="G342" s="45"/>
      <c r="H342" s="44"/>
      <c r="I342" s="45"/>
      <c r="J342" s="45"/>
      <c r="K342" s="46"/>
      <c r="L342" s="47"/>
    </row>
    <row r="343">
      <c r="A343" s="53"/>
      <c r="B343" s="45"/>
      <c r="C343" s="45"/>
      <c r="D343" s="45"/>
      <c r="E343" s="45"/>
      <c r="F343" s="45"/>
      <c r="G343" s="45"/>
      <c r="H343" s="44"/>
      <c r="I343" s="45"/>
      <c r="J343" s="45"/>
      <c r="K343" s="46"/>
      <c r="L343" s="47"/>
    </row>
    <row r="344">
      <c r="A344" s="53"/>
      <c r="B344" s="45"/>
      <c r="C344" s="45"/>
      <c r="D344" s="45"/>
      <c r="E344" s="45"/>
      <c r="F344" s="45"/>
      <c r="G344" s="45"/>
      <c r="H344" s="44"/>
      <c r="I344" s="45"/>
      <c r="J344" s="45"/>
      <c r="K344" s="46"/>
      <c r="L344" s="47"/>
    </row>
    <row r="345">
      <c r="A345" s="53"/>
      <c r="B345" s="45"/>
      <c r="C345" s="45"/>
      <c r="D345" s="45"/>
      <c r="E345" s="45"/>
      <c r="F345" s="45"/>
      <c r="G345" s="45"/>
      <c r="H345" s="44"/>
      <c r="I345" s="45"/>
      <c r="J345" s="45"/>
      <c r="K345" s="46"/>
      <c r="L345" s="47"/>
    </row>
    <row r="346">
      <c r="A346" s="53"/>
      <c r="B346" s="45"/>
      <c r="C346" s="45"/>
      <c r="D346" s="45"/>
      <c r="E346" s="45"/>
      <c r="F346" s="45"/>
      <c r="G346" s="45"/>
      <c r="H346" s="44"/>
      <c r="I346" s="45"/>
      <c r="J346" s="45"/>
      <c r="K346" s="46"/>
      <c r="L346" s="47"/>
    </row>
    <row r="347">
      <c r="A347" s="53"/>
      <c r="B347" s="45"/>
      <c r="C347" s="45"/>
      <c r="D347" s="45"/>
      <c r="E347" s="45"/>
      <c r="F347" s="45"/>
      <c r="G347" s="45"/>
      <c r="H347" s="44"/>
      <c r="I347" s="45"/>
      <c r="J347" s="45"/>
      <c r="K347" s="46"/>
      <c r="L347" s="47"/>
    </row>
    <row r="348">
      <c r="A348" s="53"/>
      <c r="B348" s="45"/>
      <c r="C348" s="45"/>
      <c r="D348" s="45"/>
      <c r="E348" s="45"/>
      <c r="F348" s="45"/>
      <c r="G348" s="45"/>
      <c r="H348" s="44"/>
      <c r="I348" s="45"/>
      <c r="J348" s="45"/>
      <c r="K348" s="46"/>
      <c r="L348" s="47"/>
    </row>
    <row r="349">
      <c r="A349" s="53"/>
      <c r="B349" s="45"/>
      <c r="C349" s="45"/>
      <c r="D349" s="45"/>
      <c r="E349" s="45"/>
      <c r="F349" s="45"/>
      <c r="G349" s="45"/>
      <c r="H349" s="44"/>
      <c r="I349" s="45"/>
      <c r="J349" s="45"/>
      <c r="K349" s="46"/>
      <c r="L349" s="47"/>
    </row>
    <row r="350">
      <c r="A350" s="53"/>
      <c r="B350" s="45"/>
      <c r="C350" s="45"/>
      <c r="D350" s="45"/>
      <c r="E350" s="45"/>
      <c r="F350" s="45"/>
      <c r="G350" s="45"/>
      <c r="H350" s="44"/>
      <c r="I350" s="45"/>
      <c r="J350" s="45"/>
      <c r="K350" s="46"/>
      <c r="L350" s="47"/>
    </row>
    <row r="351">
      <c r="A351" s="53"/>
      <c r="B351" s="45"/>
      <c r="C351" s="45"/>
      <c r="D351" s="45"/>
      <c r="E351" s="45"/>
      <c r="F351" s="45"/>
      <c r="G351" s="45"/>
      <c r="H351" s="44"/>
      <c r="I351" s="45"/>
      <c r="J351" s="45"/>
      <c r="K351" s="46"/>
      <c r="L351" s="47"/>
    </row>
    <row r="352">
      <c r="A352" s="53"/>
      <c r="B352" s="45"/>
      <c r="C352" s="45"/>
      <c r="D352" s="45"/>
      <c r="E352" s="45"/>
      <c r="F352" s="45"/>
      <c r="G352" s="45"/>
      <c r="H352" s="44"/>
      <c r="I352" s="45"/>
      <c r="J352" s="45"/>
      <c r="K352" s="46"/>
      <c r="L352" s="47"/>
    </row>
    <row r="353">
      <c r="A353" s="53"/>
      <c r="B353" s="45"/>
      <c r="C353" s="45"/>
      <c r="D353" s="45"/>
      <c r="E353" s="45"/>
      <c r="F353" s="45"/>
      <c r="G353" s="45"/>
      <c r="H353" s="44"/>
      <c r="I353" s="45"/>
      <c r="J353" s="45"/>
      <c r="K353" s="46"/>
      <c r="L353" s="47"/>
    </row>
    <row r="354">
      <c r="A354" s="53"/>
      <c r="B354" s="45"/>
      <c r="C354" s="45"/>
      <c r="D354" s="45"/>
      <c r="E354" s="45"/>
      <c r="F354" s="45"/>
      <c r="G354" s="45"/>
      <c r="H354" s="44"/>
      <c r="I354" s="45"/>
      <c r="J354" s="45"/>
      <c r="K354" s="46"/>
      <c r="L354" s="47"/>
    </row>
    <row r="355">
      <c r="A355" s="53"/>
      <c r="B355" s="45"/>
      <c r="C355" s="45"/>
      <c r="D355" s="45"/>
      <c r="E355" s="45"/>
      <c r="F355" s="45"/>
      <c r="G355" s="45"/>
      <c r="H355" s="44"/>
      <c r="I355" s="45"/>
      <c r="J355" s="45"/>
      <c r="K355" s="46"/>
      <c r="L355" s="47"/>
    </row>
    <row r="356">
      <c r="A356" s="53"/>
      <c r="B356" s="45"/>
      <c r="C356" s="45"/>
      <c r="D356" s="45"/>
      <c r="E356" s="45"/>
      <c r="F356" s="45"/>
      <c r="G356" s="45"/>
      <c r="H356" s="44"/>
      <c r="I356" s="45"/>
      <c r="J356" s="45"/>
      <c r="K356" s="46"/>
      <c r="L356" s="47"/>
    </row>
    <row r="357">
      <c r="A357" s="53"/>
      <c r="B357" s="45"/>
      <c r="C357" s="45"/>
      <c r="D357" s="45"/>
      <c r="E357" s="45"/>
      <c r="F357" s="45"/>
      <c r="G357" s="45"/>
      <c r="H357" s="44"/>
      <c r="I357" s="45"/>
      <c r="J357" s="45"/>
      <c r="K357" s="46"/>
      <c r="L357" s="47"/>
    </row>
    <row r="358">
      <c r="A358" s="53"/>
      <c r="B358" s="45"/>
      <c r="C358" s="45"/>
      <c r="D358" s="45"/>
      <c r="E358" s="45"/>
      <c r="F358" s="45"/>
      <c r="G358" s="45"/>
      <c r="H358" s="44"/>
      <c r="I358" s="45"/>
      <c r="J358" s="45"/>
      <c r="K358" s="46"/>
      <c r="L358" s="47"/>
    </row>
    <row r="359">
      <c r="A359" s="53"/>
      <c r="B359" s="45"/>
      <c r="C359" s="45"/>
      <c r="D359" s="45"/>
      <c r="E359" s="45"/>
      <c r="F359" s="45"/>
      <c r="G359" s="45"/>
      <c r="H359" s="44"/>
      <c r="I359" s="45"/>
      <c r="J359" s="45"/>
      <c r="K359" s="46"/>
      <c r="L359" s="47"/>
    </row>
    <row r="360">
      <c r="A360" s="53"/>
      <c r="B360" s="45"/>
      <c r="C360" s="45"/>
      <c r="D360" s="45"/>
      <c r="E360" s="45"/>
      <c r="F360" s="45"/>
      <c r="G360" s="45"/>
      <c r="H360" s="44"/>
      <c r="I360" s="45"/>
      <c r="J360" s="45"/>
      <c r="K360" s="46"/>
      <c r="L360" s="47"/>
    </row>
    <row r="361">
      <c r="A361" s="53"/>
      <c r="B361" s="45"/>
      <c r="C361" s="45"/>
      <c r="D361" s="45"/>
      <c r="E361" s="45"/>
      <c r="F361" s="45"/>
      <c r="G361" s="45"/>
      <c r="H361" s="44"/>
      <c r="I361" s="45"/>
      <c r="J361" s="45"/>
      <c r="K361" s="46"/>
      <c r="L361" s="47"/>
    </row>
    <row r="362">
      <c r="A362" s="53"/>
      <c r="B362" s="45"/>
      <c r="C362" s="45"/>
      <c r="D362" s="45"/>
      <c r="E362" s="45"/>
      <c r="F362" s="45"/>
      <c r="G362" s="45"/>
      <c r="H362" s="44"/>
      <c r="I362" s="45"/>
      <c r="J362" s="45"/>
      <c r="K362" s="46"/>
      <c r="L362" s="47"/>
    </row>
    <row r="363">
      <c r="A363" s="53"/>
      <c r="B363" s="45"/>
      <c r="C363" s="45"/>
      <c r="D363" s="45"/>
      <c r="E363" s="45"/>
      <c r="F363" s="45"/>
      <c r="G363" s="45"/>
      <c r="H363" s="44"/>
      <c r="I363" s="45"/>
      <c r="J363" s="45"/>
      <c r="K363" s="46"/>
      <c r="L363" s="47"/>
    </row>
    <row r="364">
      <c r="A364" s="53"/>
      <c r="B364" s="45"/>
      <c r="C364" s="45"/>
      <c r="D364" s="45"/>
      <c r="E364" s="45"/>
      <c r="F364" s="45"/>
      <c r="G364" s="45"/>
      <c r="H364" s="44"/>
      <c r="I364" s="45"/>
      <c r="J364" s="45"/>
      <c r="K364" s="46"/>
      <c r="L364" s="47"/>
    </row>
    <row r="365">
      <c r="A365" s="53"/>
      <c r="B365" s="45"/>
      <c r="C365" s="45"/>
      <c r="D365" s="45"/>
      <c r="E365" s="45"/>
      <c r="F365" s="45"/>
      <c r="G365" s="45"/>
      <c r="H365" s="44"/>
      <c r="I365" s="45"/>
      <c r="J365" s="45"/>
      <c r="K365" s="46"/>
      <c r="L365" s="47"/>
    </row>
    <row r="366">
      <c r="A366" s="53"/>
      <c r="B366" s="45"/>
      <c r="C366" s="45"/>
      <c r="D366" s="45"/>
      <c r="E366" s="45"/>
      <c r="F366" s="45"/>
      <c r="G366" s="45"/>
      <c r="H366" s="44"/>
      <c r="I366" s="45"/>
      <c r="J366" s="45"/>
      <c r="K366" s="46"/>
      <c r="L366" s="47"/>
    </row>
    <row r="367">
      <c r="A367" s="53"/>
      <c r="B367" s="45"/>
      <c r="C367" s="45"/>
      <c r="D367" s="45"/>
      <c r="E367" s="45"/>
      <c r="F367" s="45"/>
      <c r="G367" s="45"/>
      <c r="H367" s="44"/>
      <c r="I367" s="45"/>
      <c r="J367" s="45"/>
      <c r="K367" s="46"/>
      <c r="L367" s="47"/>
    </row>
    <row r="368">
      <c r="A368" s="53"/>
      <c r="B368" s="45"/>
      <c r="C368" s="45"/>
      <c r="D368" s="45"/>
      <c r="E368" s="45"/>
      <c r="F368" s="45"/>
      <c r="G368" s="45"/>
      <c r="H368" s="44"/>
      <c r="I368" s="45"/>
      <c r="J368" s="45"/>
      <c r="K368" s="46"/>
      <c r="L368" s="47"/>
    </row>
    <row r="369">
      <c r="A369" s="53"/>
      <c r="B369" s="45"/>
      <c r="C369" s="45"/>
      <c r="D369" s="45"/>
      <c r="E369" s="45"/>
      <c r="F369" s="45"/>
      <c r="G369" s="45"/>
      <c r="H369" s="44"/>
      <c r="I369" s="45"/>
      <c r="J369" s="45"/>
      <c r="K369" s="46"/>
      <c r="L369" s="47"/>
    </row>
    <row r="370">
      <c r="A370" s="53"/>
      <c r="B370" s="45"/>
      <c r="C370" s="45"/>
      <c r="D370" s="45"/>
      <c r="E370" s="45"/>
      <c r="F370" s="45"/>
      <c r="G370" s="45"/>
      <c r="H370" s="44"/>
      <c r="I370" s="45"/>
      <c r="J370" s="45"/>
      <c r="K370" s="46"/>
      <c r="L370" s="47"/>
    </row>
    <row r="371">
      <c r="A371" s="53"/>
      <c r="B371" s="45"/>
      <c r="C371" s="45"/>
      <c r="D371" s="45"/>
      <c r="E371" s="45"/>
      <c r="F371" s="45"/>
      <c r="G371" s="45"/>
      <c r="H371" s="44"/>
      <c r="I371" s="45"/>
      <c r="J371" s="45"/>
      <c r="K371" s="46"/>
      <c r="L371" s="47"/>
    </row>
    <row r="372">
      <c r="A372" s="53"/>
      <c r="B372" s="45"/>
      <c r="C372" s="45"/>
      <c r="D372" s="45"/>
      <c r="E372" s="45"/>
      <c r="F372" s="45"/>
      <c r="G372" s="45"/>
      <c r="H372" s="44"/>
      <c r="I372" s="45"/>
      <c r="J372" s="45"/>
      <c r="K372" s="46"/>
      <c r="L372" s="47"/>
    </row>
    <row r="373">
      <c r="A373" s="53"/>
      <c r="B373" s="45"/>
      <c r="C373" s="45"/>
      <c r="D373" s="45"/>
      <c r="E373" s="45"/>
      <c r="F373" s="45"/>
      <c r="G373" s="45"/>
      <c r="H373" s="44"/>
      <c r="I373" s="45"/>
      <c r="J373" s="45"/>
      <c r="K373" s="46"/>
      <c r="L373" s="47"/>
    </row>
    <row r="374">
      <c r="A374" s="53"/>
      <c r="B374" s="45"/>
      <c r="C374" s="45"/>
      <c r="D374" s="45"/>
      <c r="E374" s="45"/>
      <c r="F374" s="45"/>
      <c r="G374" s="45"/>
      <c r="H374" s="44"/>
      <c r="I374" s="45"/>
      <c r="J374" s="45"/>
      <c r="K374" s="46"/>
      <c r="L374" s="47"/>
    </row>
    <row r="375">
      <c r="A375" s="53"/>
      <c r="B375" s="45"/>
      <c r="C375" s="45"/>
      <c r="D375" s="45"/>
      <c r="E375" s="45"/>
      <c r="F375" s="45"/>
      <c r="G375" s="45"/>
      <c r="H375" s="44"/>
      <c r="I375" s="45"/>
      <c r="J375" s="45"/>
      <c r="K375" s="46"/>
      <c r="L375" s="47"/>
    </row>
    <row r="376">
      <c r="A376" s="53"/>
      <c r="B376" s="45"/>
      <c r="C376" s="45"/>
      <c r="D376" s="45"/>
      <c r="E376" s="45"/>
      <c r="F376" s="45"/>
      <c r="G376" s="45"/>
      <c r="H376" s="44"/>
      <c r="I376" s="45"/>
      <c r="J376" s="45"/>
      <c r="K376" s="46"/>
      <c r="L376" s="47"/>
    </row>
    <row r="377">
      <c r="A377" s="53"/>
      <c r="B377" s="45"/>
      <c r="C377" s="45"/>
      <c r="D377" s="45"/>
      <c r="E377" s="45"/>
      <c r="F377" s="45"/>
      <c r="G377" s="45"/>
      <c r="H377" s="44"/>
      <c r="I377" s="45"/>
      <c r="J377" s="45"/>
      <c r="K377" s="46"/>
      <c r="L377" s="47"/>
    </row>
    <row r="378">
      <c r="A378" s="53"/>
      <c r="B378" s="45"/>
      <c r="C378" s="45"/>
      <c r="D378" s="45"/>
      <c r="E378" s="45"/>
      <c r="F378" s="45"/>
      <c r="G378" s="45"/>
      <c r="H378" s="44"/>
      <c r="I378" s="45"/>
      <c r="J378" s="45"/>
      <c r="K378" s="46"/>
      <c r="L378" s="47"/>
    </row>
    <row r="379">
      <c r="A379" s="53"/>
      <c r="B379" s="45"/>
      <c r="C379" s="45"/>
      <c r="D379" s="45"/>
      <c r="E379" s="45"/>
      <c r="F379" s="45"/>
      <c r="G379" s="45"/>
      <c r="H379" s="44"/>
      <c r="I379" s="45"/>
      <c r="J379" s="45"/>
      <c r="K379" s="46"/>
      <c r="L379" s="47"/>
    </row>
    <row r="380">
      <c r="A380" s="53"/>
      <c r="B380" s="45"/>
      <c r="C380" s="45"/>
      <c r="D380" s="45"/>
      <c r="E380" s="45"/>
      <c r="F380" s="45"/>
      <c r="G380" s="45"/>
      <c r="H380" s="44"/>
      <c r="I380" s="45"/>
      <c r="J380" s="45"/>
      <c r="K380" s="46"/>
      <c r="L380" s="47"/>
    </row>
    <row r="381">
      <c r="A381" s="53"/>
      <c r="B381" s="45"/>
      <c r="C381" s="45"/>
      <c r="D381" s="45"/>
      <c r="E381" s="45"/>
      <c r="F381" s="45"/>
      <c r="G381" s="45"/>
      <c r="H381" s="44"/>
      <c r="I381" s="45"/>
      <c r="J381" s="45"/>
      <c r="K381" s="46"/>
      <c r="L381" s="47"/>
    </row>
    <row r="382">
      <c r="A382" s="53"/>
      <c r="B382" s="45"/>
      <c r="C382" s="45"/>
      <c r="D382" s="45"/>
      <c r="E382" s="45"/>
      <c r="F382" s="45"/>
      <c r="G382" s="45"/>
      <c r="H382" s="44"/>
      <c r="I382" s="45"/>
      <c r="J382" s="45"/>
      <c r="K382" s="46"/>
      <c r="L382" s="47"/>
    </row>
    <row r="383">
      <c r="A383" s="53"/>
      <c r="B383" s="45"/>
      <c r="C383" s="45"/>
      <c r="D383" s="45"/>
      <c r="E383" s="45"/>
      <c r="F383" s="45"/>
      <c r="G383" s="45"/>
      <c r="H383" s="44"/>
      <c r="I383" s="45"/>
      <c r="J383" s="45"/>
      <c r="K383" s="46"/>
      <c r="L383" s="47"/>
    </row>
    <row r="384">
      <c r="A384" s="53"/>
      <c r="B384" s="45"/>
      <c r="C384" s="45"/>
      <c r="D384" s="45"/>
      <c r="E384" s="45"/>
      <c r="F384" s="45"/>
      <c r="G384" s="45"/>
      <c r="H384" s="44"/>
      <c r="I384" s="45"/>
      <c r="J384" s="45"/>
      <c r="K384" s="46"/>
      <c r="L384" s="47"/>
    </row>
    <row r="385">
      <c r="A385" s="53"/>
      <c r="B385" s="45"/>
      <c r="C385" s="45"/>
      <c r="D385" s="45"/>
      <c r="E385" s="45"/>
      <c r="F385" s="45"/>
      <c r="G385" s="45"/>
      <c r="H385" s="44"/>
      <c r="I385" s="45"/>
      <c r="J385" s="45"/>
      <c r="K385" s="46"/>
      <c r="L385" s="47"/>
    </row>
    <row r="386">
      <c r="A386" s="53"/>
      <c r="B386" s="45"/>
      <c r="C386" s="45"/>
      <c r="D386" s="45"/>
      <c r="E386" s="45"/>
      <c r="F386" s="45"/>
      <c r="G386" s="45"/>
      <c r="H386" s="44"/>
      <c r="I386" s="45"/>
      <c r="J386" s="45"/>
      <c r="K386" s="46"/>
      <c r="L386" s="47"/>
    </row>
    <row r="387">
      <c r="A387" s="53"/>
      <c r="B387" s="45"/>
      <c r="C387" s="45"/>
      <c r="D387" s="45"/>
      <c r="E387" s="45"/>
      <c r="F387" s="45"/>
      <c r="G387" s="45"/>
      <c r="H387" s="44"/>
      <c r="I387" s="45"/>
      <c r="J387" s="45"/>
      <c r="K387" s="46"/>
      <c r="L387" s="47"/>
    </row>
    <row r="388">
      <c r="A388" s="53"/>
      <c r="B388" s="45"/>
      <c r="C388" s="45"/>
      <c r="D388" s="45"/>
      <c r="E388" s="45"/>
      <c r="F388" s="45"/>
      <c r="G388" s="45"/>
      <c r="H388" s="44"/>
      <c r="I388" s="45"/>
      <c r="J388" s="45"/>
      <c r="K388" s="46"/>
      <c r="L388" s="47"/>
    </row>
    <row r="389">
      <c r="A389" s="53"/>
      <c r="B389" s="45"/>
      <c r="C389" s="45"/>
      <c r="D389" s="45"/>
      <c r="E389" s="45"/>
      <c r="F389" s="45"/>
      <c r="G389" s="45"/>
      <c r="H389" s="44"/>
      <c r="I389" s="45"/>
      <c r="J389" s="45"/>
      <c r="K389" s="46"/>
      <c r="L389" s="47"/>
    </row>
    <row r="390">
      <c r="A390" s="53"/>
      <c r="B390" s="45"/>
      <c r="C390" s="45"/>
      <c r="D390" s="45"/>
      <c r="E390" s="45"/>
      <c r="F390" s="45"/>
      <c r="G390" s="45"/>
      <c r="H390" s="44"/>
      <c r="I390" s="45"/>
      <c r="J390" s="45"/>
      <c r="K390" s="46"/>
      <c r="L390" s="47"/>
    </row>
    <row r="391">
      <c r="A391" s="53"/>
      <c r="B391" s="45"/>
      <c r="C391" s="45"/>
      <c r="D391" s="45"/>
      <c r="E391" s="45"/>
      <c r="F391" s="45"/>
      <c r="G391" s="45"/>
      <c r="H391" s="44"/>
      <c r="I391" s="45"/>
      <c r="J391" s="45"/>
      <c r="K391" s="46"/>
      <c r="L391" s="47"/>
    </row>
    <row r="392">
      <c r="A392" s="53"/>
      <c r="B392" s="45"/>
      <c r="C392" s="45"/>
      <c r="D392" s="45"/>
      <c r="E392" s="45"/>
      <c r="F392" s="45"/>
      <c r="G392" s="45"/>
      <c r="H392" s="44"/>
      <c r="I392" s="45"/>
      <c r="J392" s="45"/>
      <c r="K392" s="46"/>
      <c r="L392" s="47"/>
    </row>
    <row r="393">
      <c r="A393" s="53"/>
      <c r="B393" s="45"/>
      <c r="C393" s="45"/>
      <c r="D393" s="45"/>
      <c r="E393" s="45"/>
      <c r="F393" s="45"/>
      <c r="G393" s="45"/>
      <c r="H393" s="44"/>
      <c r="I393" s="45"/>
      <c r="J393" s="45"/>
      <c r="K393" s="46"/>
      <c r="L393" s="47"/>
    </row>
    <row r="394">
      <c r="A394" s="53"/>
      <c r="B394" s="45"/>
      <c r="C394" s="45"/>
      <c r="D394" s="45"/>
      <c r="E394" s="45"/>
      <c r="F394" s="45"/>
      <c r="G394" s="45"/>
      <c r="H394" s="44"/>
      <c r="I394" s="45"/>
      <c r="J394" s="45"/>
      <c r="K394" s="46"/>
      <c r="L394" s="47"/>
    </row>
    <row r="395">
      <c r="A395" s="53"/>
      <c r="B395" s="45"/>
      <c r="C395" s="45"/>
      <c r="D395" s="45"/>
      <c r="E395" s="45"/>
      <c r="F395" s="45"/>
      <c r="G395" s="45"/>
      <c r="H395" s="44"/>
      <c r="I395" s="45"/>
      <c r="J395" s="45"/>
      <c r="K395" s="46"/>
      <c r="L395" s="47"/>
    </row>
    <row r="396">
      <c r="A396" s="53"/>
      <c r="B396" s="45"/>
      <c r="C396" s="45"/>
      <c r="D396" s="45"/>
      <c r="E396" s="45"/>
      <c r="F396" s="45"/>
      <c r="G396" s="45"/>
      <c r="H396" s="44"/>
      <c r="I396" s="45"/>
      <c r="J396" s="45"/>
      <c r="K396" s="46"/>
      <c r="L396" s="47"/>
    </row>
    <row r="397">
      <c r="A397" s="53"/>
      <c r="B397" s="45"/>
      <c r="C397" s="45"/>
      <c r="D397" s="45"/>
      <c r="E397" s="45"/>
      <c r="F397" s="45"/>
      <c r="G397" s="45"/>
      <c r="H397" s="44"/>
      <c r="I397" s="45"/>
      <c r="J397" s="45"/>
      <c r="K397" s="46"/>
      <c r="L397" s="47"/>
    </row>
    <row r="398">
      <c r="A398" s="53"/>
      <c r="B398" s="45"/>
      <c r="C398" s="45"/>
      <c r="D398" s="45"/>
      <c r="E398" s="45"/>
      <c r="F398" s="45"/>
      <c r="G398" s="45"/>
      <c r="H398" s="44"/>
      <c r="I398" s="45"/>
      <c r="J398" s="45"/>
      <c r="K398" s="46"/>
      <c r="L398" s="47"/>
    </row>
    <row r="399">
      <c r="A399" s="53"/>
      <c r="B399" s="45"/>
      <c r="C399" s="45"/>
      <c r="D399" s="45"/>
      <c r="E399" s="45"/>
      <c r="F399" s="45"/>
      <c r="G399" s="45"/>
      <c r="H399" s="44"/>
      <c r="I399" s="45"/>
      <c r="J399" s="45"/>
      <c r="K399" s="46"/>
      <c r="L399" s="47"/>
    </row>
    <row r="400">
      <c r="A400" s="53"/>
      <c r="B400" s="45"/>
      <c r="C400" s="45"/>
      <c r="D400" s="45"/>
      <c r="E400" s="45"/>
      <c r="F400" s="45"/>
      <c r="G400" s="45"/>
      <c r="H400" s="44"/>
      <c r="I400" s="45"/>
      <c r="J400" s="45"/>
      <c r="K400" s="46"/>
      <c r="L400" s="47"/>
    </row>
    <row r="401">
      <c r="A401" s="53"/>
      <c r="B401" s="45"/>
      <c r="C401" s="45"/>
      <c r="D401" s="45"/>
      <c r="E401" s="45"/>
      <c r="F401" s="45"/>
      <c r="G401" s="45"/>
      <c r="H401" s="44"/>
      <c r="I401" s="45"/>
      <c r="J401" s="45"/>
      <c r="K401" s="46"/>
      <c r="L401" s="47"/>
    </row>
    <row r="402">
      <c r="A402" s="53"/>
      <c r="B402" s="45"/>
      <c r="C402" s="45"/>
      <c r="D402" s="45"/>
      <c r="E402" s="45"/>
      <c r="F402" s="45"/>
      <c r="G402" s="45"/>
      <c r="H402" s="44"/>
      <c r="I402" s="45"/>
      <c r="J402" s="45"/>
      <c r="K402" s="46"/>
      <c r="L402" s="47"/>
    </row>
    <row r="403">
      <c r="A403" s="53"/>
      <c r="B403" s="45"/>
      <c r="C403" s="45"/>
      <c r="D403" s="45"/>
      <c r="E403" s="45"/>
      <c r="F403" s="45"/>
      <c r="G403" s="45"/>
      <c r="H403" s="44"/>
      <c r="I403" s="45"/>
      <c r="J403" s="45"/>
      <c r="K403" s="46"/>
      <c r="L403" s="47"/>
    </row>
    <row r="404">
      <c r="A404" s="53"/>
      <c r="B404" s="45"/>
      <c r="C404" s="45"/>
      <c r="D404" s="45"/>
      <c r="E404" s="45"/>
      <c r="F404" s="45"/>
      <c r="G404" s="45"/>
      <c r="H404" s="44"/>
      <c r="I404" s="45"/>
      <c r="J404" s="45"/>
      <c r="K404" s="46"/>
      <c r="L404" s="47"/>
    </row>
    <row r="405">
      <c r="A405" s="53"/>
      <c r="B405" s="45"/>
      <c r="C405" s="45"/>
      <c r="D405" s="45"/>
      <c r="E405" s="45"/>
      <c r="F405" s="45"/>
      <c r="G405" s="45"/>
      <c r="H405" s="44"/>
      <c r="I405" s="45"/>
      <c r="J405" s="45"/>
      <c r="K405" s="46"/>
      <c r="L405" s="47"/>
    </row>
    <row r="406">
      <c r="A406" s="53"/>
      <c r="B406" s="45"/>
      <c r="C406" s="45"/>
      <c r="D406" s="45"/>
      <c r="E406" s="45"/>
      <c r="F406" s="45"/>
      <c r="G406" s="45"/>
      <c r="H406" s="44"/>
      <c r="I406" s="45"/>
      <c r="J406" s="45"/>
      <c r="K406" s="46"/>
      <c r="L406" s="47"/>
    </row>
    <row r="407">
      <c r="A407" s="53"/>
      <c r="B407" s="45"/>
      <c r="C407" s="45"/>
      <c r="D407" s="45"/>
      <c r="E407" s="45"/>
      <c r="F407" s="45"/>
      <c r="G407" s="45"/>
      <c r="H407" s="44"/>
      <c r="I407" s="45"/>
      <c r="J407" s="45"/>
      <c r="K407" s="46"/>
      <c r="L407" s="47"/>
    </row>
    <row r="408">
      <c r="A408" s="53"/>
      <c r="B408" s="45"/>
      <c r="C408" s="45"/>
      <c r="D408" s="45"/>
      <c r="E408" s="45"/>
      <c r="F408" s="45"/>
      <c r="G408" s="45"/>
      <c r="H408" s="44"/>
      <c r="I408" s="45"/>
      <c r="J408" s="45"/>
      <c r="K408" s="46"/>
      <c r="L408" s="47"/>
    </row>
    <row r="409">
      <c r="A409" s="53"/>
      <c r="B409" s="45"/>
      <c r="C409" s="45"/>
      <c r="D409" s="45"/>
      <c r="E409" s="45"/>
      <c r="F409" s="45"/>
      <c r="G409" s="45"/>
      <c r="H409" s="44"/>
      <c r="I409" s="45"/>
      <c r="J409" s="45"/>
      <c r="K409" s="46"/>
      <c r="L409" s="47"/>
    </row>
    <row r="410">
      <c r="A410" s="53"/>
      <c r="B410" s="45"/>
      <c r="C410" s="45"/>
      <c r="D410" s="45"/>
      <c r="E410" s="45"/>
      <c r="F410" s="45"/>
      <c r="G410" s="45"/>
      <c r="H410" s="44"/>
      <c r="I410" s="45"/>
      <c r="J410" s="45"/>
      <c r="K410" s="46"/>
      <c r="L410" s="47"/>
    </row>
    <row r="411">
      <c r="A411" s="53"/>
      <c r="B411" s="45"/>
      <c r="C411" s="45"/>
      <c r="D411" s="45"/>
      <c r="E411" s="45"/>
      <c r="F411" s="45"/>
      <c r="G411" s="45"/>
      <c r="H411" s="44"/>
      <c r="I411" s="45"/>
      <c r="J411" s="45"/>
      <c r="K411" s="46"/>
      <c r="L411" s="47"/>
    </row>
    <row r="412">
      <c r="A412" s="53"/>
      <c r="B412" s="45"/>
      <c r="C412" s="45"/>
      <c r="D412" s="45"/>
      <c r="E412" s="45"/>
      <c r="F412" s="45"/>
      <c r="G412" s="45"/>
      <c r="H412" s="44"/>
      <c r="I412" s="45"/>
      <c r="J412" s="45"/>
      <c r="K412" s="46"/>
      <c r="L412" s="47"/>
    </row>
    <row r="413">
      <c r="A413" s="53"/>
      <c r="B413" s="45"/>
      <c r="C413" s="45"/>
      <c r="D413" s="45"/>
      <c r="E413" s="45"/>
      <c r="F413" s="45"/>
      <c r="G413" s="45"/>
      <c r="H413" s="44"/>
      <c r="I413" s="45"/>
      <c r="J413" s="45"/>
      <c r="K413" s="46"/>
      <c r="L413" s="47"/>
    </row>
    <row r="414">
      <c r="A414" s="53"/>
      <c r="B414" s="45"/>
      <c r="C414" s="45"/>
      <c r="D414" s="45"/>
      <c r="E414" s="45"/>
      <c r="F414" s="45"/>
      <c r="G414" s="45"/>
      <c r="H414" s="44"/>
      <c r="I414" s="45"/>
      <c r="J414" s="45"/>
      <c r="K414" s="46"/>
      <c r="L414" s="47"/>
    </row>
    <row r="415">
      <c r="A415" s="53"/>
      <c r="B415" s="45"/>
      <c r="C415" s="45"/>
      <c r="D415" s="45"/>
      <c r="E415" s="45"/>
      <c r="F415" s="45"/>
      <c r="G415" s="45"/>
      <c r="H415" s="44"/>
      <c r="I415" s="45"/>
      <c r="J415" s="45"/>
      <c r="K415" s="46"/>
      <c r="L415" s="47"/>
    </row>
    <row r="416">
      <c r="A416" s="53"/>
      <c r="B416" s="45"/>
      <c r="C416" s="45"/>
      <c r="D416" s="45"/>
      <c r="E416" s="45"/>
      <c r="F416" s="45"/>
      <c r="G416" s="45"/>
      <c r="H416" s="44"/>
      <c r="I416" s="45"/>
      <c r="J416" s="45"/>
      <c r="K416" s="46"/>
      <c r="L416" s="47"/>
    </row>
    <row r="417">
      <c r="A417" s="53"/>
      <c r="B417" s="45"/>
      <c r="C417" s="45"/>
      <c r="D417" s="45"/>
      <c r="E417" s="45"/>
      <c r="F417" s="45"/>
      <c r="G417" s="45"/>
      <c r="H417" s="44"/>
      <c r="I417" s="45"/>
      <c r="J417" s="45"/>
      <c r="K417" s="46"/>
      <c r="L417" s="47"/>
    </row>
    <row r="418">
      <c r="A418" s="53"/>
      <c r="B418" s="45"/>
      <c r="C418" s="45"/>
      <c r="D418" s="45"/>
      <c r="E418" s="45"/>
      <c r="F418" s="45"/>
      <c r="G418" s="45"/>
      <c r="H418" s="44"/>
      <c r="I418" s="45"/>
      <c r="J418" s="45"/>
      <c r="K418" s="46"/>
      <c r="L418" s="47"/>
    </row>
    <row r="419">
      <c r="A419" s="53"/>
      <c r="B419" s="45"/>
      <c r="C419" s="45"/>
      <c r="D419" s="45"/>
      <c r="E419" s="45"/>
      <c r="F419" s="45"/>
      <c r="G419" s="45"/>
      <c r="H419" s="44"/>
      <c r="I419" s="45"/>
      <c r="J419" s="45"/>
      <c r="K419" s="46"/>
      <c r="L419" s="47"/>
    </row>
    <row r="420">
      <c r="A420" s="53"/>
      <c r="B420" s="45"/>
      <c r="C420" s="45"/>
      <c r="D420" s="45"/>
      <c r="E420" s="45"/>
      <c r="F420" s="45"/>
      <c r="G420" s="45"/>
      <c r="H420" s="44"/>
      <c r="I420" s="45"/>
      <c r="J420" s="45"/>
      <c r="K420" s="46"/>
      <c r="L420" s="47"/>
    </row>
    <row r="421">
      <c r="A421" s="53"/>
      <c r="B421" s="45"/>
      <c r="C421" s="45"/>
      <c r="D421" s="45"/>
      <c r="E421" s="45"/>
      <c r="F421" s="45"/>
      <c r="G421" s="45"/>
      <c r="H421" s="44"/>
      <c r="I421" s="45"/>
      <c r="J421" s="45"/>
      <c r="K421" s="46"/>
      <c r="L421" s="47"/>
    </row>
    <row r="422">
      <c r="A422" s="53"/>
      <c r="B422" s="45"/>
      <c r="C422" s="45"/>
      <c r="D422" s="45"/>
      <c r="E422" s="45"/>
      <c r="F422" s="45"/>
      <c r="G422" s="45"/>
      <c r="H422" s="44"/>
      <c r="I422" s="45"/>
      <c r="J422" s="45"/>
      <c r="K422" s="46"/>
      <c r="L422" s="47"/>
    </row>
    <row r="423">
      <c r="A423" s="53"/>
      <c r="B423" s="45"/>
      <c r="C423" s="45"/>
      <c r="D423" s="45"/>
      <c r="E423" s="45"/>
      <c r="F423" s="45"/>
      <c r="G423" s="45"/>
      <c r="H423" s="44"/>
      <c r="I423" s="45"/>
      <c r="J423" s="45"/>
      <c r="K423" s="46"/>
      <c r="L423" s="47"/>
    </row>
    <row r="424">
      <c r="A424" s="53"/>
      <c r="B424" s="45"/>
      <c r="C424" s="45"/>
      <c r="D424" s="45"/>
      <c r="E424" s="45"/>
      <c r="F424" s="45"/>
      <c r="G424" s="45"/>
      <c r="H424" s="44"/>
      <c r="I424" s="45"/>
      <c r="J424" s="45"/>
      <c r="K424" s="46"/>
      <c r="L424" s="47"/>
    </row>
    <row r="425">
      <c r="A425" s="53"/>
      <c r="B425" s="45"/>
      <c r="C425" s="45"/>
      <c r="D425" s="45"/>
      <c r="E425" s="45"/>
      <c r="F425" s="45"/>
      <c r="G425" s="45"/>
      <c r="H425" s="44"/>
      <c r="I425" s="45"/>
      <c r="J425" s="45"/>
      <c r="K425" s="46"/>
      <c r="L425" s="47"/>
    </row>
    <row r="426">
      <c r="A426" s="53"/>
      <c r="B426" s="45"/>
      <c r="C426" s="45"/>
      <c r="D426" s="45"/>
      <c r="E426" s="45"/>
      <c r="F426" s="45"/>
      <c r="G426" s="45"/>
      <c r="H426" s="44"/>
      <c r="I426" s="45"/>
      <c r="J426" s="45"/>
      <c r="K426" s="46"/>
      <c r="L426" s="47"/>
    </row>
    <row r="427">
      <c r="A427" s="53"/>
      <c r="B427" s="45"/>
      <c r="C427" s="45"/>
      <c r="D427" s="45"/>
      <c r="E427" s="45"/>
      <c r="F427" s="45"/>
      <c r="G427" s="45"/>
      <c r="H427" s="44"/>
      <c r="I427" s="45"/>
      <c r="J427" s="45"/>
      <c r="K427" s="46"/>
      <c r="L427" s="47"/>
    </row>
    <row r="428">
      <c r="A428" s="53"/>
      <c r="B428" s="45"/>
      <c r="C428" s="45"/>
      <c r="D428" s="45"/>
      <c r="E428" s="45"/>
      <c r="F428" s="45"/>
      <c r="G428" s="45"/>
      <c r="H428" s="44"/>
      <c r="I428" s="45"/>
      <c r="J428" s="45"/>
      <c r="K428" s="46"/>
      <c r="L428" s="47"/>
    </row>
    <row r="429">
      <c r="A429" s="53"/>
      <c r="B429" s="45"/>
      <c r="C429" s="45"/>
      <c r="D429" s="45"/>
      <c r="E429" s="45"/>
      <c r="F429" s="45"/>
      <c r="G429" s="45"/>
      <c r="H429" s="44"/>
      <c r="I429" s="45"/>
      <c r="J429" s="45"/>
      <c r="K429" s="46"/>
      <c r="L429" s="47"/>
    </row>
    <row r="430">
      <c r="A430" s="53"/>
      <c r="B430" s="45"/>
      <c r="C430" s="45"/>
      <c r="D430" s="45"/>
      <c r="E430" s="45"/>
      <c r="F430" s="45"/>
      <c r="G430" s="45"/>
      <c r="H430" s="44"/>
      <c r="I430" s="45"/>
      <c r="J430" s="45"/>
      <c r="K430" s="46"/>
      <c r="L430" s="47"/>
    </row>
    <row r="431">
      <c r="A431" s="53"/>
      <c r="B431" s="45"/>
      <c r="C431" s="45"/>
      <c r="D431" s="45"/>
      <c r="E431" s="45"/>
      <c r="F431" s="45"/>
      <c r="G431" s="45"/>
      <c r="H431" s="44"/>
      <c r="I431" s="45"/>
      <c r="J431" s="45"/>
      <c r="K431" s="46"/>
      <c r="L431" s="47"/>
    </row>
    <row r="432">
      <c r="A432" s="53"/>
      <c r="B432" s="45"/>
      <c r="C432" s="45"/>
      <c r="D432" s="45"/>
      <c r="E432" s="45"/>
      <c r="F432" s="45"/>
      <c r="G432" s="45"/>
      <c r="H432" s="44"/>
      <c r="I432" s="45"/>
      <c r="J432" s="45"/>
      <c r="K432" s="46"/>
      <c r="L432" s="47"/>
    </row>
    <row r="433">
      <c r="A433" s="53"/>
      <c r="B433" s="45"/>
      <c r="C433" s="45"/>
      <c r="D433" s="45"/>
      <c r="E433" s="45"/>
      <c r="F433" s="45"/>
      <c r="G433" s="45"/>
      <c r="H433" s="44"/>
      <c r="I433" s="45"/>
      <c r="J433" s="45"/>
      <c r="K433" s="46"/>
      <c r="L433" s="47"/>
    </row>
    <row r="434">
      <c r="A434" s="53"/>
      <c r="B434" s="45"/>
      <c r="C434" s="45"/>
      <c r="D434" s="45"/>
      <c r="E434" s="45"/>
      <c r="F434" s="45"/>
      <c r="G434" s="45"/>
      <c r="H434" s="44"/>
      <c r="I434" s="45"/>
      <c r="J434" s="45"/>
      <c r="K434" s="46"/>
      <c r="L434" s="47"/>
    </row>
    <row r="435">
      <c r="A435" s="53"/>
      <c r="B435" s="45"/>
      <c r="C435" s="45"/>
      <c r="D435" s="45"/>
      <c r="E435" s="45"/>
      <c r="F435" s="45"/>
      <c r="G435" s="45"/>
      <c r="H435" s="44"/>
      <c r="I435" s="45"/>
      <c r="J435" s="45"/>
      <c r="K435" s="46"/>
      <c r="L435" s="47"/>
    </row>
    <row r="436">
      <c r="A436" s="53"/>
      <c r="B436" s="45"/>
      <c r="C436" s="45"/>
      <c r="D436" s="45"/>
      <c r="E436" s="45"/>
      <c r="F436" s="45"/>
      <c r="G436" s="45"/>
      <c r="H436" s="44"/>
      <c r="I436" s="45"/>
      <c r="J436" s="45"/>
      <c r="K436" s="46"/>
      <c r="L436" s="47"/>
    </row>
    <row r="437">
      <c r="A437" s="53"/>
      <c r="B437" s="45"/>
      <c r="C437" s="45"/>
      <c r="D437" s="45"/>
      <c r="E437" s="45"/>
      <c r="F437" s="45"/>
      <c r="G437" s="45"/>
      <c r="H437" s="44"/>
      <c r="I437" s="45"/>
      <c r="J437" s="45"/>
      <c r="K437" s="46"/>
      <c r="L437" s="47"/>
    </row>
    <row r="438">
      <c r="A438" s="53"/>
      <c r="B438" s="45"/>
      <c r="C438" s="45"/>
      <c r="D438" s="45"/>
      <c r="E438" s="45"/>
      <c r="F438" s="45"/>
      <c r="G438" s="45"/>
      <c r="H438" s="44"/>
      <c r="I438" s="45"/>
      <c r="J438" s="45"/>
      <c r="K438" s="46"/>
      <c r="L438" s="47"/>
    </row>
    <row r="439">
      <c r="A439" s="53"/>
      <c r="B439" s="45"/>
      <c r="C439" s="45"/>
      <c r="D439" s="45"/>
      <c r="E439" s="45"/>
      <c r="F439" s="45"/>
      <c r="G439" s="45"/>
      <c r="H439" s="44"/>
      <c r="I439" s="45"/>
      <c r="J439" s="45"/>
      <c r="K439" s="46"/>
      <c r="L439" s="47"/>
    </row>
    <row r="440">
      <c r="A440" s="53"/>
      <c r="B440" s="45"/>
      <c r="C440" s="45"/>
      <c r="D440" s="45"/>
      <c r="E440" s="45"/>
      <c r="F440" s="45"/>
      <c r="G440" s="45"/>
      <c r="H440" s="44"/>
      <c r="I440" s="45"/>
      <c r="J440" s="45"/>
      <c r="K440" s="46"/>
      <c r="L440" s="47"/>
    </row>
    <row r="441">
      <c r="A441" s="53"/>
      <c r="B441" s="45"/>
      <c r="C441" s="45"/>
      <c r="D441" s="45"/>
      <c r="E441" s="45"/>
      <c r="F441" s="45"/>
      <c r="G441" s="45"/>
      <c r="H441" s="44"/>
      <c r="I441" s="45"/>
      <c r="J441" s="45"/>
      <c r="K441" s="46"/>
      <c r="L441" s="47"/>
    </row>
    <row r="442">
      <c r="A442" s="53"/>
      <c r="B442" s="45"/>
      <c r="C442" s="45"/>
      <c r="D442" s="45"/>
      <c r="E442" s="45"/>
      <c r="F442" s="45"/>
      <c r="G442" s="45"/>
      <c r="H442" s="44"/>
      <c r="I442" s="45"/>
      <c r="J442" s="45"/>
      <c r="K442" s="46"/>
      <c r="L442" s="47"/>
    </row>
    <row r="443">
      <c r="A443" s="53"/>
      <c r="B443" s="45"/>
      <c r="C443" s="45"/>
      <c r="D443" s="45"/>
      <c r="E443" s="45"/>
      <c r="F443" s="45"/>
      <c r="G443" s="45"/>
      <c r="H443" s="44"/>
      <c r="I443" s="45"/>
      <c r="J443" s="45"/>
      <c r="K443" s="46"/>
      <c r="L443" s="47"/>
    </row>
    <row r="444">
      <c r="A444" s="53"/>
      <c r="B444" s="45"/>
      <c r="C444" s="45"/>
      <c r="D444" s="45"/>
      <c r="E444" s="45"/>
      <c r="F444" s="45"/>
      <c r="G444" s="45"/>
      <c r="H444" s="44"/>
      <c r="I444" s="45"/>
      <c r="J444" s="45"/>
      <c r="K444" s="46"/>
      <c r="L444" s="47"/>
    </row>
    <row r="445">
      <c r="A445" s="53"/>
      <c r="B445" s="45"/>
      <c r="C445" s="45"/>
      <c r="D445" s="45"/>
      <c r="E445" s="45"/>
      <c r="F445" s="45"/>
      <c r="G445" s="45"/>
      <c r="H445" s="44"/>
      <c r="I445" s="45"/>
      <c r="J445" s="45"/>
      <c r="K445" s="46"/>
      <c r="L445" s="47"/>
    </row>
    <row r="446">
      <c r="A446" s="53"/>
      <c r="B446" s="45"/>
      <c r="C446" s="45"/>
      <c r="D446" s="45"/>
      <c r="E446" s="45"/>
      <c r="F446" s="45"/>
      <c r="G446" s="45"/>
      <c r="H446" s="44"/>
      <c r="I446" s="45"/>
      <c r="J446" s="45"/>
      <c r="K446" s="46"/>
      <c r="L446" s="47"/>
    </row>
    <row r="447">
      <c r="A447" s="53"/>
      <c r="B447" s="45"/>
      <c r="C447" s="45"/>
      <c r="D447" s="45"/>
      <c r="E447" s="45"/>
      <c r="F447" s="45"/>
      <c r="G447" s="45"/>
      <c r="H447" s="44"/>
      <c r="I447" s="45"/>
      <c r="J447" s="45"/>
      <c r="K447" s="46"/>
      <c r="L447" s="47"/>
    </row>
    <row r="448">
      <c r="A448" s="53"/>
      <c r="B448" s="45"/>
      <c r="C448" s="45"/>
      <c r="D448" s="45"/>
      <c r="E448" s="45"/>
      <c r="F448" s="45"/>
      <c r="G448" s="45"/>
      <c r="H448" s="44"/>
      <c r="I448" s="45"/>
      <c r="J448" s="45"/>
      <c r="K448" s="46"/>
      <c r="L448" s="47"/>
    </row>
    <row r="449">
      <c r="A449" s="53"/>
      <c r="B449" s="45"/>
      <c r="C449" s="45"/>
      <c r="D449" s="45"/>
      <c r="E449" s="45"/>
      <c r="F449" s="45"/>
      <c r="G449" s="45"/>
      <c r="H449" s="44"/>
      <c r="I449" s="45"/>
      <c r="J449" s="45"/>
      <c r="K449" s="46"/>
      <c r="L449" s="47"/>
    </row>
    <row r="450">
      <c r="A450" s="53"/>
      <c r="B450" s="45"/>
      <c r="C450" s="45"/>
      <c r="D450" s="45"/>
      <c r="E450" s="45"/>
      <c r="F450" s="45"/>
      <c r="G450" s="45"/>
      <c r="H450" s="44"/>
      <c r="I450" s="45"/>
      <c r="J450" s="45"/>
      <c r="K450" s="46"/>
      <c r="L450" s="47"/>
    </row>
    <row r="451">
      <c r="A451" s="53"/>
      <c r="B451" s="45"/>
      <c r="C451" s="45"/>
      <c r="D451" s="45"/>
      <c r="E451" s="45"/>
      <c r="F451" s="45"/>
      <c r="G451" s="45"/>
      <c r="H451" s="44"/>
      <c r="I451" s="45"/>
      <c r="J451" s="45"/>
      <c r="K451" s="46"/>
      <c r="L451" s="47"/>
    </row>
    <row r="452">
      <c r="A452" s="53"/>
      <c r="B452" s="45"/>
      <c r="C452" s="45"/>
      <c r="D452" s="45"/>
      <c r="E452" s="45"/>
      <c r="F452" s="45"/>
      <c r="G452" s="45"/>
      <c r="H452" s="44"/>
      <c r="I452" s="45"/>
      <c r="J452" s="45"/>
      <c r="K452" s="46"/>
      <c r="L452" s="47"/>
    </row>
    <row r="453">
      <c r="A453" s="53"/>
      <c r="B453" s="45"/>
      <c r="C453" s="45"/>
      <c r="D453" s="45"/>
      <c r="E453" s="45"/>
      <c r="F453" s="45"/>
      <c r="G453" s="45"/>
      <c r="H453" s="44"/>
      <c r="I453" s="45"/>
      <c r="J453" s="45"/>
      <c r="K453" s="46"/>
      <c r="L453" s="47"/>
    </row>
    <row r="454">
      <c r="A454" s="53"/>
      <c r="B454" s="45"/>
      <c r="C454" s="45"/>
      <c r="D454" s="45"/>
      <c r="E454" s="45"/>
      <c r="F454" s="45"/>
      <c r="G454" s="45"/>
      <c r="H454" s="44"/>
      <c r="I454" s="45"/>
      <c r="J454" s="45"/>
      <c r="K454" s="46"/>
      <c r="L454" s="47"/>
    </row>
    <row r="455">
      <c r="A455" s="53"/>
      <c r="B455" s="45"/>
      <c r="C455" s="45"/>
      <c r="D455" s="45"/>
      <c r="E455" s="45"/>
      <c r="F455" s="45"/>
      <c r="G455" s="45"/>
      <c r="H455" s="44"/>
      <c r="I455" s="45"/>
      <c r="J455" s="45"/>
      <c r="K455" s="46"/>
      <c r="L455" s="47"/>
    </row>
    <row r="456">
      <c r="A456" s="53"/>
      <c r="B456" s="45"/>
      <c r="C456" s="45"/>
      <c r="D456" s="45"/>
      <c r="E456" s="45"/>
      <c r="F456" s="45"/>
      <c r="G456" s="45"/>
      <c r="H456" s="44"/>
      <c r="I456" s="45"/>
      <c r="J456" s="45"/>
      <c r="K456" s="46"/>
      <c r="L456" s="47"/>
    </row>
    <row r="457">
      <c r="A457" s="53"/>
      <c r="B457" s="45"/>
      <c r="C457" s="45"/>
      <c r="D457" s="45"/>
      <c r="E457" s="45"/>
      <c r="F457" s="45"/>
      <c r="G457" s="45"/>
      <c r="H457" s="44"/>
      <c r="I457" s="45"/>
      <c r="J457" s="45"/>
      <c r="K457" s="46"/>
      <c r="L457" s="47"/>
    </row>
    <row r="458">
      <c r="A458" s="53"/>
      <c r="B458" s="45"/>
      <c r="C458" s="45"/>
      <c r="D458" s="45"/>
      <c r="E458" s="45"/>
      <c r="F458" s="45"/>
      <c r="G458" s="45"/>
      <c r="H458" s="44"/>
      <c r="I458" s="45"/>
      <c r="J458" s="45"/>
      <c r="K458" s="46"/>
      <c r="L458" s="47"/>
    </row>
    <row r="459">
      <c r="A459" s="53"/>
      <c r="B459" s="45"/>
      <c r="C459" s="45"/>
      <c r="D459" s="45"/>
      <c r="E459" s="45"/>
      <c r="F459" s="45"/>
      <c r="G459" s="45"/>
      <c r="H459" s="44"/>
      <c r="I459" s="45"/>
      <c r="J459" s="45"/>
      <c r="K459" s="46"/>
      <c r="L459" s="47"/>
    </row>
    <row r="460">
      <c r="A460" s="53"/>
      <c r="B460" s="45"/>
      <c r="C460" s="45"/>
      <c r="D460" s="45"/>
      <c r="E460" s="45"/>
      <c r="F460" s="45"/>
      <c r="G460" s="45"/>
      <c r="H460" s="44"/>
      <c r="I460" s="45"/>
      <c r="J460" s="45"/>
      <c r="K460" s="46"/>
      <c r="L460" s="47"/>
    </row>
    <row r="461">
      <c r="A461" s="53"/>
      <c r="B461" s="45"/>
      <c r="C461" s="45"/>
      <c r="D461" s="45"/>
      <c r="E461" s="45"/>
      <c r="F461" s="45"/>
      <c r="G461" s="45"/>
      <c r="H461" s="44"/>
      <c r="I461" s="45"/>
      <c r="J461" s="45"/>
      <c r="K461" s="46"/>
      <c r="L461" s="47"/>
    </row>
    <row r="462">
      <c r="A462" s="53"/>
      <c r="B462" s="45"/>
      <c r="C462" s="45"/>
      <c r="D462" s="45"/>
      <c r="E462" s="45"/>
      <c r="F462" s="45"/>
      <c r="G462" s="45"/>
      <c r="H462" s="44"/>
      <c r="I462" s="45"/>
      <c r="J462" s="45"/>
      <c r="K462" s="46"/>
      <c r="L462" s="47"/>
    </row>
    <row r="463">
      <c r="A463" s="53"/>
      <c r="B463" s="45"/>
      <c r="C463" s="45"/>
      <c r="D463" s="45"/>
      <c r="E463" s="45"/>
      <c r="F463" s="45"/>
      <c r="G463" s="45"/>
      <c r="H463" s="44"/>
      <c r="I463" s="45"/>
      <c r="J463" s="45"/>
      <c r="K463" s="46"/>
      <c r="L463" s="47"/>
    </row>
    <row r="464">
      <c r="A464" s="53"/>
      <c r="B464" s="45"/>
      <c r="C464" s="45"/>
      <c r="D464" s="45"/>
      <c r="E464" s="45"/>
      <c r="F464" s="45"/>
      <c r="G464" s="45"/>
      <c r="H464" s="44"/>
      <c r="I464" s="45"/>
      <c r="J464" s="45"/>
      <c r="K464" s="46"/>
      <c r="L464" s="47"/>
    </row>
    <row r="465">
      <c r="A465" s="53"/>
      <c r="B465" s="45"/>
      <c r="C465" s="45"/>
      <c r="D465" s="45"/>
      <c r="E465" s="45"/>
      <c r="F465" s="45"/>
      <c r="G465" s="45"/>
      <c r="H465" s="44"/>
      <c r="I465" s="45"/>
      <c r="J465" s="45"/>
      <c r="K465" s="46"/>
      <c r="L465" s="47"/>
    </row>
    <row r="466">
      <c r="A466" s="53"/>
      <c r="B466" s="45"/>
      <c r="C466" s="45"/>
      <c r="D466" s="45"/>
      <c r="E466" s="45"/>
      <c r="F466" s="45"/>
      <c r="G466" s="45"/>
      <c r="H466" s="44"/>
      <c r="I466" s="45"/>
      <c r="J466" s="45"/>
      <c r="K466" s="46"/>
      <c r="L466" s="47"/>
    </row>
    <row r="467">
      <c r="A467" s="53"/>
      <c r="B467" s="45"/>
      <c r="C467" s="45"/>
      <c r="D467" s="45"/>
      <c r="E467" s="45"/>
      <c r="F467" s="45"/>
      <c r="G467" s="45"/>
      <c r="H467" s="44"/>
      <c r="I467" s="45"/>
      <c r="J467" s="45"/>
      <c r="K467" s="46"/>
      <c r="L467" s="47"/>
    </row>
    <row r="468">
      <c r="A468" s="53"/>
      <c r="B468" s="45"/>
      <c r="C468" s="45"/>
      <c r="D468" s="45"/>
      <c r="E468" s="45"/>
      <c r="F468" s="45"/>
      <c r="G468" s="45"/>
      <c r="H468" s="44"/>
      <c r="I468" s="45"/>
      <c r="J468" s="45"/>
      <c r="K468" s="46"/>
      <c r="L468" s="47"/>
    </row>
    <row r="469">
      <c r="A469" s="53"/>
      <c r="B469" s="45"/>
      <c r="C469" s="45"/>
      <c r="D469" s="45"/>
      <c r="E469" s="45"/>
      <c r="F469" s="45"/>
      <c r="G469" s="45"/>
      <c r="H469" s="44"/>
      <c r="I469" s="45"/>
      <c r="J469" s="45"/>
      <c r="K469" s="46"/>
      <c r="L469" s="47"/>
    </row>
    <row r="470">
      <c r="A470" s="53"/>
      <c r="B470" s="45"/>
      <c r="C470" s="45"/>
      <c r="D470" s="45"/>
      <c r="E470" s="45"/>
      <c r="F470" s="45"/>
      <c r="G470" s="45"/>
      <c r="H470" s="44"/>
      <c r="I470" s="45"/>
      <c r="J470" s="45"/>
      <c r="K470" s="46"/>
      <c r="L470" s="47"/>
    </row>
    <row r="471">
      <c r="A471" s="53"/>
      <c r="B471" s="45"/>
      <c r="C471" s="45"/>
      <c r="D471" s="45"/>
      <c r="E471" s="45"/>
      <c r="F471" s="45"/>
      <c r="G471" s="45"/>
      <c r="H471" s="44"/>
      <c r="I471" s="45"/>
      <c r="J471" s="45"/>
      <c r="K471" s="46"/>
      <c r="L471" s="47"/>
    </row>
    <row r="472">
      <c r="A472" s="53"/>
      <c r="B472" s="45"/>
      <c r="C472" s="45"/>
      <c r="D472" s="45"/>
      <c r="E472" s="45"/>
      <c r="F472" s="45"/>
      <c r="G472" s="45"/>
      <c r="H472" s="44"/>
      <c r="I472" s="45"/>
      <c r="J472" s="45"/>
      <c r="K472" s="46"/>
      <c r="L472" s="47"/>
    </row>
    <row r="473">
      <c r="A473" s="53"/>
      <c r="B473" s="45"/>
      <c r="C473" s="45"/>
      <c r="D473" s="45"/>
      <c r="E473" s="45"/>
      <c r="F473" s="45"/>
      <c r="G473" s="45"/>
      <c r="H473" s="44"/>
      <c r="I473" s="45"/>
      <c r="J473" s="45"/>
      <c r="K473" s="46"/>
      <c r="L473" s="47"/>
    </row>
    <row r="474">
      <c r="A474" s="53"/>
      <c r="B474" s="45"/>
      <c r="C474" s="45"/>
      <c r="D474" s="45"/>
      <c r="E474" s="45"/>
      <c r="F474" s="45"/>
      <c r="G474" s="45"/>
      <c r="H474" s="44"/>
      <c r="I474" s="45"/>
      <c r="J474" s="45"/>
      <c r="K474" s="46"/>
      <c r="L474" s="47"/>
    </row>
    <row r="475">
      <c r="A475" s="53"/>
      <c r="B475" s="45"/>
      <c r="C475" s="45"/>
      <c r="D475" s="45"/>
      <c r="E475" s="45"/>
      <c r="F475" s="45"/>
      <c r="G475" s="45"/>
      <c r="H475" s="44"/>
      <c r="I475" s="45"/>
      <c r="J475" s="45"/>
      <c r="K475" s="46"/>
      <c r="L475" s="47"/>
    </row>
    <row r="476">
      <c r="A476" s="53"/>
      <c r="B476" s="45"/>
      <c r="C476" s="45"/>
      <c r="D476" s="45"/>
      <c r="E476" s="45"/>
      <c r="F476" s="45"/>
      <c r="G476" s="45"/>
      <c r="H476" s="44"/>
      <c r="I476" s="45"/>
      <c r="J476" s="45"/>
      <c r="K476" s="46"/>
      <c r="L476" s="47"/>
    </row>
    <row r="477">
      <c r="A477" s="53"/>
      <c r="B477" s="45"/>
      <c r="C477" s="45"/>
      <c r="D477" s="45"/>
      <c r="E477" s="45"/>
      <c r="F477" s="45"/>
      <c r="G477" s="45"/>
      <c r="H477" s="44"/>
      <c r="I477" s="45"/>
      <c r="J477" s="45"/>
      <c r="K477" s="46"/>
      <c r="L477" s="47"/>
    </row>
    <row r="478">
      <c r="A478" s="53"/>
      <c r="B478" s="45"/>
      <c r="C478" s="45"/>
      <c r="D478" s="45"/>
      <c r="E478" s="45"/>
      <c r="F478" s="45"/>
      <c r="G478" s="45"/>
      <c r="H478" s="44"/>
      <c r="I478" s="45"/>
      <c r="J478" s="45"/>
      <c r="K478" s="46"/>
      <c r="L478" s="47"/>
    </row>
    <row r="479">
      <c r="A479" s="53"/>
      <c r="B479" s="45"/>
      <c r="C479" s="45"/>
      <c r="D479" s="45"/>
      <c r="E479" s="45"/>
      <c r="F479" s="45"/>
      <c r="G479" s="45"/>
      <c r="H479" s="44"/>
      <c r="I479" s="45"/>
      <c r="J479" s="45"/>
      <c r="K479" s="46"/>
      <c r="L479" s="47"/>
    </row>
    <row r="480">
      <c r="A480" s="53"/>
      <c r="B480" s="45"/>
      <c r="C480" s="45"/>
      <c r="D480" s="45"/>
      <c r="E480" s="45"/>
      <c r="F480" s="45"/>
      <c r="G480" s="45"/>
      <c r="H480" s="44"/>
      <c r="I480" s="45"/>
      <c r="J480" s="45"/>
      <c r="K480" s="46"/>
      <c r="L480" s="47"/>
    </row>
    <row r="481">
      <c r="A481" s="53"/>
      <c r="B481" s="45"/>
      <c r="C481" s="45"/>
      <c r="D481" s="45"/>
      <c r="E481" s="45"/>
      <c r="F481" s="45"/>
      <c r="G481" s="45"/>
      <c r="H481" s="44"/>
      <c r="I481" s="45"/>
      <c r="J481" s="45"/>
      <c r="K481" s="46"/>
      <c r="L481" s="47"/>
    </row>
    <row r="482">
      <c r="A482" s="53"/>
      <c r="B482" s="45"/>
      <c r="C482" s="45"/>
      <c r="D482" s="45"/>
      <c r="E482" s="45"/>
      <c r="F482" s="45"/>
      <c r="G482" s="45"/>
      <c r="H482" s="44"/>
      <c r="I482" s="45"/>
      <c r="J482" s="45"/>
      <c r="K482" s="46"/>
      <c r="L482" s="47"/>
    </row>
    <row r="483">
      <c r="A483" s="53"/>
      <c r="B483" s="45"/>
      <c r="C483" s="45"/>
      <c r="D483" s="45"/>
      <c r="E483" s="45"/>
      <c r="F483" s="45"/>
      <c r="G483" s="45"/>
      <c r="H483" s="44"/>
      <c r="I483" s="45"/>
      <c r="J483" s="45"/>
      <c r="K483" s="46"/>
      <c r="L483" s="47"/>
    </row>
    <row r="484">
      <c r="A484" s="53"/>
      <c r="B484" s="45"/>
      <c r="C484" s="45"/>
      <c r="D484" s="45"/>
      <c r="E484" s="45"/>
      <c r="F484" s="45"/>
      <c r="G484" s="45"/>
      <c r="H484" s="44"/>
      <c r="I484" s="45"/>
      <c r="J484" s="45"/>
      <c r="K484" s="46"/>
      <c r="L484" s="47"/>
    </row>
    <row r="485">
      <c r="A485" s="53"/>
      <c r="B485" s="45"/>
      <c r="C485" s="45"/>
      <c r="D485" s="45"/>
      <c r="E485" s="45"/>
      <c r="F485" s="45"/>
      <c r="G485" s="45"/>
      <c r="H485" s="44"/>
      <c r="I485" s="45"/>
      <c r="J485" s="45"/>
      <c r="K485" s="46"/>
      <c r="L485" s="47"/>
    </row>
    <row r="486">
      <c r="A486" s="53"/>
      <c r="B486" s="45"/>
      <c r="C486" s="45"/>
      <c r="D486" s="45"/>
      <c r="E486" s="45"/>
      <c r="F486" s="45"/>
      <c r="G486" s="45"/>
      <c r="H486" s="44"/>
      <c r="I486" s="45"/>
      <c r="J486" s="45"/>
      <c r="K486" s="46"/>
      <c r="L486" s="47"/>
    </row>
    <row r="487">
      <c r="A487" s="53"/>
      <c r="B487" s="45"/>
      <c r="C487" s="45"/>
      <c r="D487" s="45"/>
      <c r="E487" s="45"/>
      <c r="F487" s="45"/>
      <c r="G487" s="45"/>
      <c r="H487" s="44"/>
      <c r="I487" s="45"/>
      <c r="J487" s="45"/>
      <c r="K487" s="46"/>
      <c r="L487" s="47"/>
    </row>
    <row r="488">
      <c r="A488" s="53"/>
      <c r="B488" s="45"/>
      <c r="C488" s="45"/>
      <c r="D488" s="45"/>
      <c r="E488" s="45"/>
      <c r="F488" s="45"/>
      <c r="G488" s="45"/>
      <c r="H488" s="44"/>
      <c r="I488" s="45"/>
      <c r="J488" s="45"/>
      <c r="K488" s="46"/>
      <c r="L488" s="47"/>
    </row>
    <row r="489">
      <c r="A489" s="53"/>
      <c r="B489" s="45"/>
      <c r="C489" s="45"/>
      <c r="D489" s="45"/>
      <c r="E489" s="45"/>
      <c r="F489" s="45"/>
      <c r="G489" s="45"/>
      <c r="H489" s="44"/>
      <c r="I489" s="45"/>
      <c r="J489" s="45"/>
      <c r="K489" s="46"/>
      <c r="L489" s="47"/>
    </row>
    <row r="490">
      <c r="A490" s="53"/>
      <c r="B490" s="45"/>
      <c r="C490" s="45"/>
      <c r="D490" s="45"/>
      <c r="E490" s="45"/>
      <c r="F490" s="45"/>
      <c r="G490" s="45"/>
      <c r="H490" s="44"/>
      <c r="I490" s="45"/>
      <c r="J490" s="45"/>
      <c r="K490" s="46"/>
      <c r="L490" s="47"/>
    </row>
    <row r="491">
      <c r="A491" s="53"/>
      <c r="B491" s="45"/>
      <c r="C491" s="45"/>
      <c r="D491" s="45"/>
      <c r="E491" s="45"/>
      <c r="F491" s="45"/>
      <c r="G491" s="45"/>
      <c r="H491" s="44"/>
      <c r="I491" s="45"/>
      <c r="J491" s="45"/>
      <c r="K491" s="46"/>
      <c r="L491" s="47"/>
    </row>
    <row r="492">
      <c r="A492" s="53"/>
      <c r="B492" s="45"/>
      <c r="C492" s="45"/>
      <c r="D492" s="45"/>
      <c r="E492" s="45"/>
      <c r="F492" s="45"/>
      <c r="G492" s="45"/>
      <c r="H492" s="44"/>
      <c r="I492" s="45"/>
      <c r="J492" s="45"/>
      <c r="K492" s="46"/>
      <c r="L492" s="47"/>
    </row>
    <row r="493">
      <c r="A493" s="53"/>
      <c r="B493" s="45"/>
      <c r="C493" s="45"/>
      <c r="D493" s="45"/>
      <c r="E493" s="45"/>
      <c r="F493" s="45"/>
      <c r="G493" s="45"/>
      <c r="H493" s="44"/>
      <c r="I493" s="45"/>
      <c r="J493" s="45"/>
      <c r="K493" s="46"/>
      <c r="L493" s="47"/>
    </row>
    <row r="494">
      <c r="A494" s="53"/>
      <c r="B494" s="45"/>
      <c r="C494" s="45"/>
      <c r="D494" s="45"/>
      <c r="E494" s="45"/>
      <c r="F494" s="45"/>
      <c r="G494" s="45"/>
      <c r="H494" s="44"/>
      <c r="I494" s="45"/>
      <c r="J494" s="45"/>
      <c r="K494" s="46"/>
      <c r="L494" s="47"/>
    </row>
    <row r="495">
      <c r="A495" s="53"/>
      <c r="B495" s="45"/>
      <c r="C495" s="45"/>
      <c r="D495" s="45"/>
      <c r="E495" s="45"/>
      <c r="F495" s="45"/>
      <c r="G495" s="45"/>
      <c r="H495" s="44"/>
      <c r="I495" s="45"/>
      <c r="J495" s="45"/>
      <c r="K495" s="46"/>
      <c r="L495" s="47"/>
    </row>
    <row r="496">
      <c r="A496" s="53"/>
      <c r="B496" s="45"/>
      <c r="C496" s="45"/>
      <c r="D496" s="45"/>
      <c r="E496" s="45"/>
      <c r="F496" s="45"/>
      <c r="G496" s="45"/>
      <c r="H496" s="44"/>
      <c r="I496" s="45"/>
      <c r="J496" s="45"/>
      <c r="K496" s="46"/>
      <c r="L496" s="47"/>
    </row>
    <row r="497">
      <c r="A497" s="53"/>
      <c r="B497" s="45"/>
      <c r="C497" s="45"/>
      <c r="D497" s="45"/>
      <c r="E497" s="45"/>
      <c r="F497" s="45"/>
      <c r="G497" s="45"/>
      <c r="H497" s="44"/>
      <c r="I497" s="45"/>
      <c r="J497" s="45"/>
      <c r="K497" s="46"/>
      <c r="L497" s="47"/>
    </row>
    <row r="498">
      <c r="A498" s="53"/>
      <c r="B498" s="45"/>
      <c r="C498" s="45"/>
      <c r="D498" s="45"/>
      <c r="E498" s="45"/>
      <c r="F498" s="45"/>
      <c r="G498" s="45"/>
      <c r="H498" s="44"/>
      <c r="I498" s="45"/>
      <c r="J498" s="45"/>
      <c r="K498" s="46"/>
      <c r="L498" s="47"/>
    </row>
    <row r="499">
      <c r="A499" s="53"/>
      <c r="B499" s="45"/>
      <c r="C499" s="45"/>
      <c r="D499" s="45"/>
      <c r="E499" s="45"/>
      <c r="F499" s="45"/>
      <c r="G499" s="45"/>
      <c r="H499" s="44"/>
      <c r="I499" s="45"/>
      <c r="J499" s="45"/>
      <c r="K499" s="46"/>
      <c r="L499" s="47"/>
    </row>
    <row r="500">
      <c r="A500" s="53"/>
      <c r="B500" s="45"/>
      <c r="C500" s="45"/>
      <c r="D500" s="45"/>
      <c r="E500" s="45"/>
      <c r="F500" s="45"/>
      <c r="G500" s="45"/>
      <c r="H500" s="44"/>
      <c r="I500" s="45"/>
      <c r="J500" s="45"/>
      <c r="K500" s="46"/>
      <c r="L500" s="47"/>
    </row>
    <row r="501">
      <c r="A501" s="53"/>
      <c r="B501" s="45"/>
      <c r="C501" s="45"/>
      <c r="D501" s="45"/>
      <c r="E501" s="45"/>
      <c r="F501" s="45"/>
      <c r="G501" s="45"/>
      <c r="H501" s="44"/>
      <c r="I501" s="45"/>
      <c r="J501" s="45"/>
      <c r="K501" s="46"/>
      <c r="L501" s="47"/>
    </row>
    <row r="502">
      <c r="A502" s="53"/>
      <c r="B502" s="45"/>
      <c r="C502" s="45"/>
      <c r="D502" s="45"/>
      <c r="E502" s="45"/>
      <c r="F502" s="45"/>
      <c r="G502" s="45"/>
      <c r="H502" s="44"/>
      <c r="I502" s="45"/>
      <c r="J502" s="45"/>
      <c r="K502" s="46"/>
      <c r="L502" s="47"/>
    </row>
    <row r="503">
      <c r="A503" s="53"/>
      <c r="B503" s="45"/>
      <c r="C503" s="45"/>
      <c r="D503" s="45"/>
      <c r="E503" s="45"/>
      <c r="F503" s="45"/>
      <c r="G503" s="45"/>
      <c r="H503" s="44"/>
      <c r="I503" s="45"/>
      <c r="J503" s="45"/>
      <c r="K503" s="46"/>
      <c r="L503" s="47"/>
    </row>
    <row r="504">
      <c r="A504" s="53"/>
      <c r="B504" s="45"/>
      <c r="C504" s="45"/>
      <c r="D504" s="45"/>
      <c r="E504" s="45"/>
      <c r="F504" s="45"/>
      <c r="G504" s="45"/>
      <c r="H504" s="44"/>
      <c r="I504" s="45"/>
      <c r="J504" s="45"/>
      <c r="K504" s="46"/>
      <c r="L504" s="47"/>
    </row>
    <row r="505">
      <c r="A505" s="53"/>
      <c r="B505" s="45"/>
      <c r="C505" s="45"/>
      <c r="D505" s="45"/>
      <c r="E505" s="45"/>
      <c r="F505" s="45"/>
      <c r="G505" s="45"/>
      <c r="H505" s="44"/>
      <c r="I505" s="45"/>
      <c r="J505" s="45"/>
      <c r="K505" s="46"/>
      <c r="L505" s="47"/>
    </row>
    <row r="506">
      <c r="A506" s="53"/>
      <c r="B506" s="45"/>
      <c r="C506" s="45"/>
      <c r="D506" s="45"/>
      <c r="E506" s="45"/>
      <c r="F506" s="45"/>
      <c r="G506" s="45"/>
      <c r="H506" s="44"/>
      <c r="I506" s="45"/>
      <c r="J506" s="45"/>
      <c r="K506" s="46"/>
      <c r="L506" s="47"/>
    </row>
    <row r="507">
      <c r="A507" s="53"/>
      <c r="B507" s="45"/>
      <c r="C507" s="45"/>
      <c r="D507" s="45"/>
      <c r="E507" s="45"/>
      <c r="F507" s="45"/>
      <c r="G507" s="45"/>
      <c r="H507" s="44"/>
      <c r="I507" s="45"/>
      <c r="J507" s="45"/>
      <c r="K507" s="46"/>
      <c r="L507" s="47"/>
    </row>
    <row r="508">
      <c r="A508" s="53"/>
      <c r="B508" s="45"/>
      <c r="C508" s="45"/>
      <c r="D508" s="45"/>
      <c r="E508" s="45"/>
      <c r="F508" s="45"/>
      <c r="G508" s="45"/>
      <c r="H508" s="44"/>
      <c r="I508" s="45"/>
      <c r="J508" s="45"/>
      <c r="K508" s="46"/>
      <c r="L508" s="47"/>
    </row>
    <row r="509">
      <c r="A509" s="53"/>
      <c r="B509" s="45"/>
      <c r="C509" s="45"/>
      <c r="D509" s="45"/>
      <c r="E509" s="45"/>
      <c r="F509" s="45"/>
      <c r="G509" s="45"/>
      <c r="H509" s="44"/>
      <c r="I509" s="45"/>
      <c r="J509" s="45"/>
      <c r="K509" s="46"/>
      <c r="L509" s="47"/>
    </row>
    <row r="510">
      <c r="A510" s="53"/>
      <c r="B510" s="45"/>
      <c r="C510" s="45"/>
      <c r="D510" s="45"/>
      <c r="E510" s="45"/>
      <c r="F510" s="45"/>
      <c r="G510" s="45"/>
      <c r="H510" s="44"/>
      <c r="I510" s="45"/>
      <c r="J510" s="45"/>
      <c r="K510" s="46"/>
      <c r="L510" s="47"/>
    </row>
    <row r="511">
      <c r="A511" s="53"/>
      <c r="B511" s="45"/>
      <c r="C511" s="45"/>
      <c r="D511" s="45"/>
      <c r="E511" s="45"/>
      <c r="F511" s="45"/>
      <c r="G511" s="45"/>
      <c r="H511" s="44"/>
      <c r="I511" s="45"/>
      <c r="J511" s="45"/>
      <c r="K511" s="46"/>
      <c r="L511" s="47"/>
    </row>
    <row r="512">
      <c r="A512" s="53"/>
      <c r="B512" s="45"/>
      <c r="C512" s="45"/>
      <c r="D512" s="45"/>
      <c r="E512" s="45"/>
      <c r="F512" s="45"/>
      <c r="G512" s="45"/>
      <c r="H512" s="44"/>
      <c r="I512" s="45"/>
      <c r="J512" s="45"/>
      <c r="K512" s="46"/>
      <c r="L512" s="47"/>
    </row>
    <row r="513">
      <c r="A513" s="53"/>
      <c r="B513" s="45"/>
      <c r="C513" s="45"/>
      <c r="D513" s="45"/>
      <c r="E513" s="45"/>
      <c r="F513" s="45"/>
      <c r="G513" s="45"/>
      <c r="H513" s="44"/>
      <c r="I513" s="45"/>
      <c r="J513" s="45"/>
      <c r="K513" s="46"/>
      <c r="L513" s="47"/>
    </row>
    <row r="514">
      <c r="A514" s="53"/>
      <c r="B514" s="45"/>
      <c r="C514" s="45"/>
      <c r="D514" s="45"/>
      <c r="E514" s="45"/>
      <c r="F514" s="45"/>
      <c r="G514" s="45"/>
      <c r="H514" s="44"/>
      <c r="I514" s="45"/>
      <c r="J514" s="45"/>
      <c r="K514" s="46"/>
      <c r="L514" s="47"/>
    </row>
    <row r="515">
      <c r="A515" s="53"/>
      <c r="B515" s="45"/>
      <c r="C515" s="45"/>
      <c r="D515" s="45"/>
      <c r="E515" s="45"/>
      <c r="F515" s="45"/>
      <c r="G515" s="45"/>
      <c r="H515" s="44"/>
      <c r="I515" s="45"/>
      <c r="J515" s="45"/>
      <c r="K515" s="46"/>
      <c r="L515" s="47"/>
    </row>
    <row r="516">
      <c r="A516" s="53"/>
      <c r="B516" s="45"/>
      <c r="C516" s="45"/>
      <c r="D516" s="45"/>
      <c r="E516" s="45"/>
      <c r="F516" s="45"/>
      <c r="G516" s="45"/>
      <c r="H516" s="44"/>
      <c r="I516" s="45"/>
      <c r="J516" s="45"/>
      <c r="K516" s="46"/>
      <c r="L516" s="47"/>
    </row>
    <row r="517">
      <c r="A517" s="53"/>
      <c r="B517" s="45"/>
      <c r="C517" s="45"/>
      <c r="D517" s="45"/>
      <c r="E517" s="45"/>
      <c r="F517" s="45"/>
      <c r="G517" s="45"/>
      <c r="H517" s="44"/>
      <c r="I517" s="45"/>
      <c r="J517" s="45"/>
      <c r="K517" s="46"/>
      <c r="L517" s="47"/>
    </row>
    <row r="518">
      <c r="A518" s="53"/>
      <c r="B518" s="45"/>
      <c r="C518" s="45"/>
      <c r="D518" s="45"/>
      <c r="E518" s="45"/>
      <c r="F518" s="45"/>
      <c r="G518" s="45"/>
      <c r="H518" s="44"/>
      <c r="I518" s="45"/>
      <c r="J518" s="45"/>
      <c r="K518" s="46"/>
      <c r="L518" s="47"/>
    </row>
    <row r="519">
      <c r="A519" s="53"/>
      <c r="B519" s="45"/>
      <c r="C519" s="45"/>
      <c r="D519" s="45"/>
      <c r="E519" s="45"/>
      <c r="F519" s="45"/>
      <c r="G519" s="45"/>
      <c r="H519" s="44"/>
      <c r="I519" s="45"/>
      <c r="J519" s="45"/>
      <c r="K519" s="46"/>
      <c r="L519" s="47"/>
    </row>
    <row r="520">
      <c r="A520" s="53"/>
      <c r="B520" s="45"/>
      <c r="C520" s="45"/>
      <c r="D520" s="45"/>
      <c r="E520" s="45"/>
      <c r="F520" s="45"/>
      <c r="G520" s="45"/>
      <c r="H520" s="44"/>
      <c r="I520" s="45"/>
      <c r="J520" s="45"/>
      <c r="K520" s="46"/>
      <c r="L520" s="47"/>
    </row>
    <row r="521">
      <c r="A521" s="53"/>
      <c r="B521" s="45"/>
      <c r="C521" s="45"/>
      <c r="D521" s="45"/>
      <c r="E521" s="45"/>
      <c r="F521" s="45"/>
      <c r="G521" s="45"/>
      <c r="H521" s="44"/>
      <c r="I521" s="45"/>
      <c r="J521" s="45"/>
      <c r="K521" s="46"/>
      <c r="L521" s="47"/>
    </row>
    <row r="522">
      <c r="A522" s="53"/>
      <c r="B522" s="45"/>
      <c r="C522" s="45"/>
      <c r="D522" s="45"/>
      <c r="E522" s="45"/>
      <c r="F522" s="45"/>
      <c r="G522" s="45"/>
      <c r="H522" s="44"/>
      <c r="I522" s="45"/>
      <c r="J522" s="45"/>
      <c r="K522" s="46"/>
      <c r="L522" s="47"/>
    </row>
    <row r="523">
      <c r="A523" s="53"/>
      <c r="B523" s="45"/>
      <c r="C523" s="45"/>
      <c r="D523" s="45"/>
      <c r="E523" s="45"/>
      <c r="F523" s="45"/>
      <c r="G523" s="45"/>
      <c r="H523" s="44"/>
      <c r="I523" s="45"/>
      <c r="J523" s="45"/>
      <c r="K523" s="46"/>
      <c r="L523" s="47"/>
    </row>
    <row r="524">
      <c r="A524" s="53"/>
      <c r="B524" s="45"/>
      <c r="C524" s="45"/>
      <c r="D524" s="45"/>
      <c r="E524" s="45"/>
      <c r="F524" s="45"/>
      <c r="G524" s="45"/>
      <c r="H524" s="44"/>
      <c r="I524" s="45"/>
      <c r="J524" s="45"/>
      <c r="K524" s="46"/>
      <c r="L524" s="47"/>
    </row>
    <row r="525">
      <c r="A525" s="53"/>
      <c r="B525" s="45"/>
      <c r="C525" s="45"/>
      <c r="D525" s="45"/>
      <c r="E525" s="45"/>
      <c r="F525" s="45"/>
      <c r="G525" s="45"/>
      <c r="H525" s="44"/>
      <c r="I525" s="45"/>
      <c r="J525" s="45"/>
      <c r="K525" s="46"/>
      <c r="L525" s="47"/>
    </row>
    <row r="526">
      <c r="A526" s="53"/>
      <c r="B526" s="45"/>
      <c r="C526" s="45"/>
      <c r="D526" s="45"/>
      <c r="E526" s="45"/>
      <c r="F526" s="45"/>
      <c r="G526" s="45"/>
      <c r="H526" s="44"/>
      <c r="I526" s="45"/>
      <c r="J526" s="45"/>
      <c r="K526" s="46"/>
      <c r="L526" s="47"/>
    </row>
    <row r="527">
      <c r="A527" s="53"/>
      <c r="B527" s="45"/>
      <c r="C527" s="45"/>
      <c r="D527" s="45"/>
      <c r="E527" s="45"/>
      <c r="F527" s="45"/>
      <c r="G527" s="45"/>
      <c r="H527" s="44"/>
      <c r="I527" s="45"/>
      <c r="J527" s="45"/>
      <c r="K527" s="46"/>
      <c r="L527" s="47"/>
    </row>
    <row r="528">
      <c r="A528" s="53"/>
      <c r="B528" s="45"/>
      <c r="C528" s="45"/>
      <c r="D528" s="45"/>
      <c r="E528" s="45"/>
      <c r="F528" s="45"/>
      <c r="G528" s="45"/>
      <c r="H528" s="44"/>
      <c r="I528" s="45"/>
      <c r="J528" s="45"/>
      <c r="K528" s="46"/>
      <c r="L528" s="47"/>
    </row>
    <row r="529">
      <c r="A529" s="53"/>
      <c r="B529" s="45"/>
      <c r="C529" s="45"/>
      <c r="D529" s="45"/>
      <c r="E529" s="45"/>
      <c r="F529" s="45"/>
      <c r="G529" s="45"/>
      <c r="H529" s="44"/>
      <c r="I529" s="45"/>
      <c r="J529" s="45"/>
      <c r="K529" s="46"/>
      <c r="L529" s="47"/>
    </row>
    <row r="530">
      <c r="A530" s="53"/>
      <c r="B530" s="45"/>
      <c r="C530" s="45"/>
      <c r="D530" s="45"/>
      <c r="E530" s="45"/>
      <c r="F530" s="45"/>
      <c r="G530" s="45"/>
      <c r="H530" s="44"/>
      <c r="I530" s="45"/>
      <c r="J530" s="45"/>
      <c r="K530" s="46"/>
      <c r="L530" s="47"/>
    </row>
    <row r="531">
      <c r="A531" s="53"/>
      <c r="B531" s="45"/>
      <c r="C531" s="45"/>
      <c r="D531" s="45"/>
      <c r="E531" s="45"/>
      <c r="F531" s="45"/>
      <c r="G531" s="45"/>
      <c r="H531" s="44"/>
      <c r="I531" s="45"/>
      <c r="J531" s="45"/>
      <c r="K531" s="46"/>
      <c r="L531" s="47"/>
    </row>
    <row r="532">
      <c r="A532" s="53"/>
      <c r="B532" s="45"/>
      <c r="C532" s="45"/>
      <c r="D532" s="45"/>
      <c r="E532" s="45"/>
      <c r="F532" s="45"/>
      <c r="G532" s="45"/>
      <c r="H532" s="44"/>
      <c r="I532" s="45"/>
      <c r="J532" s="45"/>
      <c r="K532" s="46"/>
      <c r="L532" s="47"/>
    </row>
    <row r="533">
      <c r="A533" s="53"/>
      <c r="B533" s="45"/>
      <c r="C533" s="45"/>
      <c r="D533" s="45"/>
      <c r="E533" s="45"/>
      <c r="F533" s="45"/>
      <c r="G533" s="45"/>
      <c r="H533" s="44"/>
      <c r="I533" s="45"/>
      <c r="J533" s="45"/>
      <c r="K533" s="46"/>
      <c r="L533" s="47"/>
    </row>
    <row r="534">
      <c r="A534" s="53"/>
      <c r="B534" s="45"/>
      <c r="C534" s="45"/>
      <c r="D534" s="45"/>
      <c r="E534" s="45"/>
      <c r="F534" s="45"/>
      <c r="G534" s="45"/>
      <c r="H534" s="44"/>
      <c r="I534" s="45"/>
      <c r="J534" s="45"/>
      <c r="K534" s="46"/>
      <c r="L534" s="47"/>
    </row>
    <row r="535">
      <c r="A535" s="53"/>
      <c r="B535" s="45"/>
      <c r="C535" s="45"/>
      <c r="D535" s="45"/>
      <c r="E535" s="45"/>
      <c r="F535" s="45"/>
      <c r="G535" s="45"/>
      <c r="H535" s="44"/>
      <c r="I535" s="45"/>
      <c r="J535" s="45"/>
      <c r="K535" s="46"/>
      <c r="L535" s="47"/>
    </row>
    <row r="536">
      <c r="A536" s="53"/>
      <c r="B536" s="45"/>
      <c r="C536" s="45"/>
      <c r="D536" s="45"/>
      <c r="E536" s="45"/>
      <c r="F536" s="45"/>
      <c r="G536" s="45"/>
      <c r="H536" s="44"/>
      <c r="I536" s="45"/>
      <c r="J536" s="45"/>
      <c r="K536" s="46"/>
      <c r="L536" s="47"/>
    </row>
    <row r="537">
      <c r="A537" s="53"/>
      <c r="B537" s="45"/>
      <c r="C537" s="45"/>
      <c r="D537" s="45"/>
      <c r="E537" s="45"/>
      <c r="F537" s="45"/>
      <c r="G537" s="45"/>
      <c r="H537" s="44"/>
      <c r="I537" s="45"/>
      <c r="J537" s="45"/>
      <c r="K537" s="46"/>
      <c r="L537" s="47"/>
    </row>
    <row r="538">
      <c r="A538" s="53"/>
      <c r="B538" s="45"/>
      <c r="C538" s="45"/>
      <c r="D538" s="45"/>
      <c r="E538" s="45"/>
      <c r="F538" s="45"/>
      <c r="G538" s="45"/>
      <c r="H538" s="44"/>
      <c r="I538" s="45"/>
      <c r="J538" s="45"/>
      <c r="K538" s="46"/>
      <c r="L538" s="47"/>
    </row>
    <row r="539">
      <c r="A539" s="53"/>
      <c r="B539" s="45"/>
      <c r="C539" s="45"/>
      <c r="D539" s="45"/>
      <c r="E539" s="45"/>
      <c r="F539" s="45"/>
      <c r="G539" s="45"/>
      <c r="H539" s="44"/>
      <c r="I539" s="45"/>
      <c r="J539" s="45"/>
      <c r="K539" s="46"/>
      <c r="L539" s="47"/>
    </row>
    <row r="540">
      <c r="A540" s="53"/>
      <c r="B540" s="45"/>
      <c r="C540" s="45"/>
      <c r="D540" s="45"/>
      <c r="E540" s="45"/>
      <c r="F540" s="45"/>
      <c r="G540" s="45"/>
      <c r="H540" s="44"/>
      <c r="I540" s="45"/>
      <c r="J540" s="45"/>
      <c r="K540" s="46"/>
      <c r="L540" s="47"/>
    </row>
    <row r="541">
      <c r="A541" s="53"/>
      <c r="B541" s="45"/>
      <c r="C541" s="45"/>
      <c r="D541" s="45"/>
      <c r="E541" s="45"/>
      <c r="F541" s="45"/>
      <c r="G541" s="45"/>
      <c r="H541" s="44"/>
      <c r="I541" s="45"/>
      <c r="J541" s="45"/>
      <c r="K541" s="46"/>
      <c r="L541" s="47"/>
    </row>
    <row r="542">
      <c r="A542" s="53"/>
      <c r="B542" s="45"/>
      <c r="C542" s="45"/>
      <c r="D542" s="45"/>
      <c r="E542" s="45"/>
      <c r="F542" s="45"/>
      <c r="G542" s="45"/>
      <c r="H542" s="44"/>
      <c r="I542" s="45"/>
      <c r="J542" s="45"/>
      <c r="K542" s="46"/>
      <c r="L542" s="47"/>
    </row>
    <row r="543">
      <c r="A543" s="53"/>
      <c r="B543" s="45"/>
      <c r="C543" s="45"/>
      <c r="D543" s="45"/>
      <c r="E543" s="45"/>
      <c r="F543" s="45"/>
      <c r="G543" s="45"/>
      <c r="H543" s="44"/>
      <c r="I543" s="45"/>
      <c r="J543" s="45"/>
      <c r="K543" s="46"/>
      <c r="L543" s="47"/>
    </row>
    <row r="544">
      <c r="A544" s="53"/>
      <c r="B544" s="45"/>
      <c r="C544" s="45"/>
      <c r="D544" s="45"/>
      <c r="E544" s="45"/>
      <c r="F544" s="45"/>
      <c r="G544" s="45"/>
      <c r="H544" s="44"/>
      <c r="I544" s="45"/>
      <c r="J544" s="45"/>
      <c r="K544" s="46"/>
      <c r="L544" s="47"/>
    </row>
    <row r="545">
      <c r="A545" s="53"/>
      <c r="B545" s="45"/>
      <c r="C545" s="45"/>
      <c r="D545" s="45"/>
      <c r="E545" s="45"/>
      <c r="F545" s="45"/>
      <c r="G545" s="45"/>
      <c r="H545" s="44"/>
      <c r="I545" s="45"/>
      <c r="J545" s="45"/>
      <c r="K545" s="46"/>
      <c r="L545" s="47"/>
    </row>
    <row r="546">
      <c r="A546" s="53"/>
      <c r="B546" s="45"/>
      <c r="C546" s="45"/>
      <c r="D546" s="45"/>
      <c r="E546" s="45"/>
      <c r="F546" s="45"/>
      <c r="G546" s="45"/>
      <c r="H546" s="44"/>
      <c r="I546" s="45"/>
      <c r="J546" s="45"/>
      <c r="K546" s="46"/>
      <c r="L546" s="47"/>
    </row>
    <row r="547">
      <c r="A547" s="53"/>
      <c r="B547" s="45"/>
      <c r="C547" s="45"/>
      <c r="D547" s="45"/>
      <c r="E547" s="45"/>
      <c r="F547" s="45"/>
      <c r="G547" s="45"/>
      <c r="H547" s="44"/>
      <c r="I547" s="45"/>
      <c r="J547" s="45"/>
      <c r="K547" s="46"/>
      <c r="L547" s="47"/>
    </row>
    <row r="548">
      <c r="A548" s="53"/>
      <c r="B548" s="45"/>
      <c r="C548" s="45"/>
      <c r="D548" s="45"/>
      <c r="E548" s="45"/>
      <c r="F548" s="45"/>
      <c r="G548" s="45"/>
      <c r="H548" s="44"/>
      <c r="I548" s="45"/>
      <c r="J548" s="45"/>
      <c r="K548" s="46"/>
      <c r="L548" s="47"/>
    </row>
    <row r="549">
      <c r="A549" s="53"/>
      <c r="B549" s="45"/>
      <c r="C549" s="45"/>
      <c r="D549" s="45"/>
      <c r="E549" s="45"/>
      <c r="F549" s="45"/>
      <c r="G549" s="45"/>
      <c r="H549" s="44"/>
      <c r="I549" s="45"/>
      <c r="J549" s="45"/>
      <c r="K549" s="46"/>
      <c r="L549" s="47"/>
    </row>
    <row r="550">
      <c r="A550" s="53"/>
      <c r="B550" s="45"/>
      <c r="C550" s="45"/>
      <c r="D550" s="45"/>
      <c r="E550" s="45"/>
      <c r="F550" s="45"/>
      <c r="G550" s="45"/>
      <c r="H550" s="44"/>
      <c r="I550" s="45"/>
      <c r="J550" s="45"/>
      <c r="K550" s="46"/>
      <c r="L550" s="47"/>
    </row>
    <row r="551">
      <c r="A551" s="53"/>
      <c r="B551" s="45"/>
      <c r="C551" s="45"/>
      <c r="D551" s="45"/>
      <c r="E551" s="45"/>
      <c r="F551" s="45"/>
      <c r="G551" s="45"/>
      <c r="H551" s="44"/>
      <c r="I551" s="45"/>
      <c r="J551" s="45"/>
      <c r="K551" s="46"/>
      <c r="L551" s="47"/>
    </row>
    <row r="552">
      <c r="A552" s="53"/>
      <c r="B552" s="45"/>
      <c r="C552" s="45"/>
      <c r="D552" s="45"/>
      <c r="E552" s="45"/>
      <c r="F552" s="45"/>
      <c r="G552" s="45"/>
      <c r="H552" s="44"/>
      <c r="I552" s="45"/>
      <c r="J552" s="45"/>
      <c r="K552" s="46"/>
      <c r="L552" s="47"/>
    </row>
    <row r="553">
      <c r="A553" s="53"/>
      <c r="B553" s="45"/>
      <c r="C553" s="45"/>
      <c r="D553" s="45"/>
      <c r="E553" s="45"/>
      <c r="F553" s="45"/>
      <c r="G553" s="45"/>
      <c r="H553" s="44"/>
      <c r="I553" s="45"/>
      <c r="J553" s="45"/>
      <c r="K553" s="46"/>
      <c r="L553" s="47"/>
    </row>
    <row r="554">
      <c r="A554" s="53"/>
      <c r="B554" s="45"/>
      <c r="C554" s="45"/>
      <c r="D554" s="45"/>
      <c r="E554" s="45"/>
      <c r="F554" s="45"/>
      <c r="G554" s="45"/>
      <c r="H554" s="44"/>
      <c r="I554" s="45"/>
      <c r="J554" s="45"/>
      <c r="K554" s="46"/>
      <c r="L554" s="47"/>
    </row>
    <row r="555">
      <c r="A555" s="53"/>
      <c r="B555" s="45"/>
      <c r="C555" s="45"/>
      <c r="D555" s="45"/>
      <c r="E555" s="45"/>
      <c r="F555" s="45"/>
      <c r="G555" s="45"/>
      <c r="H555" s="44"/>
      <c r="I555" s="45"/>
      <c r="J555" s="45"/>
      <c r="K555" s="46"/>
      <c r="L555" s="47"/>
    </row>
    <row r="556">
      <c r="A556" s="53"/>
      <c r="B556" s="45"/>
      <c r="C556" s="45"/>
      <c r="D556" s="45"/>
      <c r="E556" s="45"/>
      <c r="F556" s="45"/>
      <c r="G556" s="45"/>
      <c r="H556" s="44"/>
      <c r="I556" s="45"/>
      <c r="J556" s="45"/>
      <c r="K556" s="46"/>
      <c r="L556" s="47"/>
    </row>
    <row r="557">
      <c r="A557" s="53"/>
      <c r="B557" s="45"/>
      <c r="C557" s="45"/>
      <c r="D557" s="45"/>
      <c r="E557" s="45"/>
      <c r="F557" s="45"/>
      <c r="G557" s="45"/>
      <c r="H557" s="44"/>
      <c r="I557" s="45"/>
      <c r="J557" s="45"/>
      <c r="K557" s="46"/>
      <c r="L557" s="47"/>
    </row>
    <row r="558">
      <c r="A558" s="53"/>
      <c r="B558" s="45"/>
      <c r="C558" s="45"/>
      <c r="D558" s="45"/>
      <c r="E558" s="45"/>
      <c r="F558" s="45"/>
      <c r="G558" s="45"/>
      <c r="H558" s="44"/>
      <c r="I558" s="45"/>
      <c r="J558" s="45"/>
      <c r="K558" s="46"/>
      <c r="L558" s="47"/>
    </row>
    <row r="559">
      <c r="A559" s="53"/>
      <c r="B559" s="45"/>
      <c r="C559" s="45"/>
      <c r="D559" s="45"/>
      <c r="E559" s="45"/>
      <c r="F559" s="45"/>
      <c r="G559" s="45"/>
      <c r="H559" s="44"/>
      <c r="I559" s="45"/>
      <c r="J559" s="45"/>
      <c r="K559" s="46"/>
      <c r="L559" s="47"/>
    </row>
    <row r="560">
      <c r="A560" s="53"/>
      <c r="B560" s="45"/>
      <c r="C560" s="45"/>
      <c r="D560" s="45"/>
      <c r="E560" s="45"/>
      <c r="F560" s="45"/>
      <c r="G560" s="45"/>
      <c r="H560" s="44"/>
      <c r="I560" s="45"/>
      <c r="J560" s="45"/>
      <c r="K560" s="46"/>
      <c r="L560" s="47"/>
    </row>
    <row r="561">
      <c r="A561" s="53"/>
      <c r="B561" s="45"/>
      <c r="C561" s="45"/>
      <c r="D561" s="45"/>
      <c r="E561" s="45"/>
      <c r="F561" s="45"/>
      <c r="G561" s="45"/>
      <c r="H561" s="44"/>
      <c r="I561" s="45"/>
      <c r="J561" s="45"/>
      <c r="K561" s="46"/>
      <c r="L561" s="47"/>
    </row>
    <row r="562">
      <c r="A562" s="53"/>
      <c r="B562" s="45"/>
      <c r="C562" s="45"/>
      <c r="D562" s="45"/>
      <c r="E562" s="45"/>
      <c r="F562" s="45"/>
      <c r="G562" s="45"/>
      <c r="H562" s="44"/>
      <c r="I562" s="45"/>
      <c r="J562" s="45"/>
      <c r="K562" s="46"/>
      <c r="L562" s="47"/>
    </row>
    <row r="563">
      <c r="A563" s="53"/>
      <c r="B563" s="45"/>
      <c r="C563" s="45"/>
      <c r="D563" s="45"/>
      <c r="E563" s="45"/>
      <c r="F563" s="45"/>
      <c r="G563" s="45"/>
      <c r="H563" s="44"/>
      <c r="I563" s="45"/>
      <c r="J563" s="45"/>
      <c r="K563" s="46"/>
      <c r="L563" s="47"/>
    </row>
    <row r="564">
      <c r="A564" s="53"/>
      <c r="B564" s="45"/>
      <c r="C564" s="45"/>
      <c r="D564" s="45"/>
      <c r="E564" s="45"/>
      <c r="F564" s="45"/>
      <c r="G564" s="45"/>
      <c r="H564" s="44"/>
      <c r="I564" s="45"/>
      <c r="J564" s="45"/>
      <c r="K564" s="46"/>
      <c r="L564" s="47"/>
    </row>
    <row r="565">
      <c r="A565" s="53"/>
      <c r="B565" s="45"/>
      <c r="C565" s="45"/>
      <c r="D565" s="45"/>
      <c r="E565" s="45"/>
      <c r="F565" s="45"/>
      <c r="G565" s="45"/>
      <c r="H565" s="44"/>
      <c r="I565" s="45"/>
      <c r="J565" s="45"/>
      <c r="K565" s="46"/>
      <c r="L565" s="47"/>
    </row>
    <row r="566">
      <c r="A566" s="53"/>
      <c r="B566" s="45"/>
      <c r="C566" s="45"/>
      <c r="D566" s="45"/>
      <c r="E566" s="45"/>
      <c r="F566" s="45"/>
      <c r="G566" s="45"/>
      <c r="H566" s="44"/>
      <c r="I566" s="45"/>
      <c r="J566" s="45"/>
      <c r="K566" s="46"/>
      <c r="L566" s="47"/>
    </row>
    <row r="567">
      <c r="A567" s="53"/>
      <c r="B567" s="45"/>
      <c r="C567" s="45"/>
      <c r="D567" s="45"/>
      <c r="E567" s="45"/>
      <c r="F567" s="45"/>
      <c r="G567" s="45"/>
      <c r="H567" s="44"/>
      <c r="I567" s="45"/>
      <c r="J567" s="45"/>
      <c r="K567" s="46"/>
      <c r="L567" s="47"/>
    </row>
    <row r="568">
      <c r="A568" s="53"/>
      <c r="B568" s="45"/>
      <c r="C568" s="45"/>
      <c r="D568" s="45"/>
      <c r="E568" s="45"/>
      <c r="F568" s="45"/>
      <c r="G568" s="45"/>
      <c r="H568" s="44"/>
      <c r="I568" s="45"/>
      <c r="J568" s="45"/>
      <c r="K568" s="46"/>
      <c r="L568" s="47"/>
    </row>
    <row r="569">
      <c r="A569" s="53"/>
      <c r="B569" s="45"/>
      <c r="C569" s="45"/>
      <c r="D569" s="45"/>
      <c r="E569" s="45"/>
      <c r="F569" s="45"/>
      <c r="G569" s="45"/>
      <c r="H569" s="44"/>
      <c r="I569" s="45"/>
      <c r="J569" s="45"/>
      <c r="K569" s="46"/>
      <c r="L569" s="47"/>
    </row>
    <row r="570">
      <c r="A570" s="53"/>
      <c r="B570" s="45"/>
      <c r="C570" s="45"/>
      <c r="D570" s="45"/>
      <c r="E570" s="45"/>
      <c r="F570" s="45"/>
      <c r="G570" s="45"/>
      <c r="H570" s="44"/>
      <c r="I570" s="45"/>
      <c r="J570" s="45"/>
      <c r="K570" s="46"/>
      <c r="L570" s="47"/>
    </row>
    <row r="571">
      <c r="A571" s="53"/>
      <c r="B571" s="45"/>
      <c r="C571" s="45"/>
      <c r="D571" s="45"/>
      <c r="E571" s="45"/>
      <c r="F571" s="45"/>
      <c r="G571" s="45"/>
      <c r="H571" s="44"/>
      <c r="I571" s="45"/>
      <c r="J571" s="45"/>
      <c r="K571" s="46"/>
      <c r="L571" s="47"/>
    </row>
    <row r="572">
      <c r="A572" s="53"/>
      <c r="B572" s="45"/>
      <c r="C572" s="45"/>
      <c r="D572" s="45"/>
      <c r="E572" s="45"/>
      <c r="F572" s="45"/>
      <c r="G572" s="45"/>
      <c r="H572" s="44"/>
      <c r="I572" s="45"/>
      <c r="J572" s="45"/>
      <c r="K572" s="46"/>
      <c r="L572" s="47"/>
    </row>
    <row r="573">
      <c r="A573" s="53"/>
      <c r="B573" s="45"/>
      <c r="C573" s="45"/>
      <c r="D573" s="45"/>
      <c r="E573" s="45"/>
      <c r="F573" s="45"/>
      <c r="G573" s="45"/>
      <c r="H573" s="44"/>
      <c r="I573" s="45"/>
      <c r="J573" s="45"/>
      <c r="K573" s="46"/>
      <c r="L573" s="47"/>
    </row>
    <row r="574">
      <c r="A574" s="53"/>
      <c r="B574" s="45"/>
      <c r="C574" s="45"/>
      <c r="D574" s="45"/>
      <c r="E574" s="45"/>
      <c r="F574" s="45"/>
      <c r="G574" s="45"/>
      <c r="H574" s="44"/>
      <c r="I574" s="45"/>
      <c r="J574" s="45"/>
      <c r="K574" s="46"/>
      <c r="L574" s="47"/>
    </row>
    <row r="575">
      <c r="A575" s="53"/>
      <c r="B575" s="45"/>
      <c r="C575" s="45"/>
      <c r="D575" s="45"/>
      <c r="E575" s="45"/>
      <c r="F575" s="45"/>
      <c r="G575" s="45"/>
      <c r="H575" s="44"/>
      <c r="I575" s="45"/>
      <c r="J575" s="45"/>
      <c r="K575" s="46"/>
      <c r="L575" s="47"/>
    </row>
    <row r="576">
      <c r="A576" s="53"/>
      <c r="B576" s="45"/>
      <c r="C576" s="45"/>
      <c r="D576" s="45"/>
      <c r="E576" s="45"/>
      <c r="F576" s="45"/>
      <c r="G576" s="45"/>
      <c r="H576" s="44"/>
      <c r="I576" s="45"/>
      <c r="J576" s="45"/>
      <c r="K576" s="46"/>
      <c r="L576" s="47"/>
    </row>
    <row r="577">
      <c r="A577" s="53"/>
      <c r="B577" s="45"/>
      <c r="C577" s="45"/>
      <c r="D577" s="45"/>
      <c r="E577" s="45"/>
      <c r="F577" s="45"/>
      <c r="G577" s="45"/>
      <c r="H577" s="44"/>
      <c r="I577" s="45"/>
      <c r="J577" s="45"/>
      <c r="K577" s="46"/>
      <c r="L577" s="47"/>
    </row>
    <row r="578">
      <c r="A578" s="53"/>
      <c r="B578" s="45"/>
      <c r="C578" s="45"/>
      <c r="D578" s="45"/>
      <c r="E578" s="45"/>
      <c r="F578" s="45"/>
      <c r="G578" s="45"/>
      <c r="H578" s="44"/>
      <c r="I578" s="45"/>
      <c r="J578" s="45"/>
      <c r="K578" s="46"/>
      <c r="L578" s="47"/>
    </row>
    <row r="579">
      <c r="A579" s="53"/>
      <c r="B579" s="45"/>
      <c r="C579" s="45"/>
      <c r="D579" s="45"/>
      <c r="E579" s="45"/>
      <c r="F579" s="45"/>
      <c r="G579" s="45"/>
      <c r="H579" s="44"/>
      <c r="I579" s="45"/>
      <c r="J579" s="45"/>
      <c r="K579" s="46"/>
      <c r="L579" s="47"/>
    </row>
    <row r="580">
      <c r="A580" s="53"/>
      <c r="B580" s="45"/>
      <c r="C580" s="45"/>
      <c r="D580" s="45"/>
      <c r="E580" s="45"/>
      <c r="F580" s="45"/>
      <c r="G580" s="45"/>
      <c r="H580" s="44"/>
      <c r="I580" s="45"/>
      <c r="J580" s="45"/>
      <c r="K580" s="46"/>
      <c r="L580" s="47"/>
    </row>
    <row r="581">
      <c r="A581" s="53"/>
      <c r="B581" s="45"/>
      <c r="C581" s="45"/>
      <c r="D581" s="45"/>
      <c r="E581" s="45"/>
      <c r="F581" s="45"/>
      <c r="G581" s="45"/>
      <c r="H581" s="44"/>
      <c r="I581" s="45"/>
      <c r="J581" s="45"/>
      <c r="K581" s="46"/>
      <c r="L581" s="47"/>
    </row>
    <row r="582">
      <c r="A582" s="53"/>
      <c r="B582" s="45"/>
      <c r="C582" s="45"/>
      <c r="D582" s="45"/>
      <c r="E582" s="45"/>
      <c r="F582" s="45"/>
      <c r="G582" s="45"/>
      <c r="H582" s="44"/>
      <c r="I582" s="45"/>
      <c r="J582" s="45"/>
      <c r="K582" s="46"/>
      <c r="L582" s="47"/>
    </row>
    <row r="583">
      <c r="A583" s="53"/>
      <c r="B583" s="45"/>
      <c r="C583" s="45"/>
      <c r="D583" s="45"/>
      <c r="E583" s="45"/>
      <c r="F583" s="45"/>
      <c r="G583" s="45"/>
      <c r="H583" s="44"/>
      <c r="I583" s="45"/>
      <c r="J583" s="45"/>
      <c r="K583" s="46"/>
      <c r="L583" s="47"/>
    </row>
    <row r="584">
      <c r="A584" s="53"/>
      <c r="B584" s="45"/>
      <c r="C584" s="45"/>
      <c r="D584" s="45"/>
      <c r="E584" s="45"/>
      <c r="F584" s="45"/>
      <c r="G584" s="45"/>
      <c r="H584" s="44"/>
      <c r="I584" s="45"/>
      <c r="J584" s="45"/>
      <c r="K584" s="46"/>
      <c r="L584" s="47"/>
    </row>
    <row r="585">
      <c r="A585" s="53"/>
      <c r="B585" s="45"/>
      <c r="C585" s="45"/>
      <c r="D585" s="45"/>
      <c r="E585" s="45"/>
      <c r="F585" s="45"/>
      <c r="G585" s="45"/>
      <c r="H585" s="44"/>
      <c r="I585" s="45"/>
      <c r="J585" s="45"/>
      <c r="K585" s="46"/>
      <c r="L585" s="47"/>
    </row>
    <row r="586">
      <c r="A586" s="53"/>
      <c r="B586" s="45"/>
      <c r="C586" s="45"/>
      <c r="D586" s="45"/>
      <c r="E586" s="45"/>
      <c r="F586" s="45"/>
      <c r="G586" s="45"/>
      <c r="H586" s="44"/>
      <c r="I586" s="45"/>
      <c r="J586" s="45"/>
      <c r="K586" s="46"/>
      <c r="L586" s="47"/>
    </row>
    <row r="587">
      <c r="A587" s="53"/>
      <c r="B587" s="45"/>
      <c r="C587" s="45"/>
      <c r="D587" s="45"/>
      <c r="E587" s="45"/>
      <c r="F587" s="45"/>
      <c r="G587" s="45"/>
      <c r="H587" s="44"/>
      <c r="I587" s="45"/>
      <c r="J587" s="45"/>
      <c r="K587" s="46"/>
      <c r="L587" s="47"/>
    </row>
    <row r="588">
      <c r="A588" s="53"/>
      <c r="B588" s="45"/>
      <c r="C588" s="45"/>
      <c r="D588" s="45"/>
      <c r="E588" s="45"/>
      <c r="F588" s="45"/>
      <c r="G588" s="45"/>
      <c r="H588" s="44"/>
      <c r="I588" s="45"/>
      <c r="J588" s="45"/>
      <c r="K588" s="46"/>
      <c r="L588" s="47"/>
    </row>
    <row r="589">
      <c r="A589" s="53"/>
      <c r="B589" s="45"/>
      <c r="C589" s="45"/>
      <c r="D589" s="45"/>
      <c r="E589" s="45"/>
      <c r="F589" s="45"/>
      <c r="G589" s="45"/>
      <c r="H589" s="44"/>
      <c r="I589" s="45"/>
      <c r="J589" s="45"/>
      <c r="K589" s="46"/>
      <c r="L589" s="47"/>
    </row>
    <row r="590">
      <c r="A590" s="53"/>
      <c r="B590" s="45"/>
      <c r="C590" s="45"/>
      <c r="D590" s="45"/>
      <c r="E590" s="45"/>
      <c r="F590" s="45"/>
      <c r="G590" s="45"/>
      <c r="H590" s="44"/>
      <c r="I590" s="45"/>
      <c r="J590" s="45"/>
      <c r="K590" s="46"/>
      <c r="L590" s="47"/>
    </row>
    <row r="591">
      <c r="A591" s="53"/>
      <c r="B591" s="45"/>
      <c r="C591" s="45"/>
      <c r="D591" s="45"/>
      <c r="E591" s="45"/>
      <c r="F591" s="45"/>
      <c r="G591" s="45"/>
      <c r="H591" s="44"/>
      <c r="I591" s="45"/>
      <c r="J591" s="45"/>
      <c r="K591" s="46"/>
      <c r="L591" s="47"/>
    </row>
    <row r="592">
      <c r="A592" s="53"/>
      <c r="B592" s="45"/>
      <c r="C592" s="45"/>
      <c r="D592" s="45"/>
      <c r="E592" s="45"/>
      <c r="F592" s="45"/>
      <c r="G592" s="45"/>
      <c r="H592" s="44"/>
      <c r="I592" s="45"/>
      <c r="J592" s="45"/>
      <c r="K592" s="46"/>
      <c r="L592" s="47"/>
    </row>
    <row r="593">
      <c r="A593" s="53"/>
      <c r="B593" s="45"/>
      <c r="C593" s="45"/>
      <c r="D593" s="45"/>
      <c r="E593" s="45"/>
      <c r="F593" s="45"/>
      <c r="G593" s="45"/>
      <c r="H593" s="44"/>
      <c r="I593" s="45"/>
      <c r="J593" s="45"/>
      <c r="K593" s="46"/>
      <c r="L593" s="47"/>
    </row>
    <row r="594">
      <c r="A594" s="53"/>
      <c r="B594" s="45"/>
      <c r="C594" s="45"/>
      <c r="D594" s="45"/>
      <c r="E594" s="45"/>
      <c r="F594" s="45"/>
      <c r="G594" s="45"/>
      <c r="H594" s="44"/>
      <c r="I594" s="45"/>
      <c r="J594" s="45"/>
      <c r="K594" s="46"/>
      <c r="L594" s="47"/>
    </row>
    <row r="595">
      <c r="A595" s="53"/>
      <c r="B595" s="45"/>
      <c r="C595" s="45"/>
      <c r="D595" s="45"/>
      <c r="E595" s="45"/>
      <c r="F595" s="45"/>
      <c r="G595" s="45"/>
      <c r="H595" s="44"/>
      <c r="I595" s="45"/>
      <c r="J595" s="45"/>
      <c r="K595" s="46"/>
      <c r="L595" s="47"/>
    </row>
    <row r="596">
      <c r="A596" s="53"/>
      <c r="B596" s="45"/>
      <c r="C596" s="45"/>
      <c r="D596" s="45"/>
      <c r="E596" s="45"/>
      <c r="F596" s="45"/>
      <c r="G596" s="45"/>
      <c r="H596" s="44"/>
      <c r="I596" s="45"/>
      <c r="J596" s="45"/>
      <c r="K596" s="46"/>
      <c r="L596" s="47"/>
    </row>
    <row r="597">
      <c r="A597" s="53"/>
      <c r="B597" s="45"/>
      <c r="C597" s="45"/>
      <c r="D597" s="45"/>
      <c r="E597" s="45"/>
      <c r="F597" s="45"/>
      <c r="G597" s="45"/>
      <c r="H597" s="44"/>
      <c r="I597" s="45"/>
      <c r="J597" s="45"/>
      <c r="K597" s="46"/>
      <c r="L597" s="47"/>
    </row>
    <row r="598">
      <c r="A598" s="53"/>
      <c r="B598" s="45"/>
      <c r="C598" s="45"/>
      <c r="D598" s="45"/>
      <c r="E598" s="45"/>
      <c r="F598" s="45"/>
      <c r="G598" s="45"/>
      <c r="H598" s="44"/>
      <c r="I598" s="45"/>
      <c r="J598" s="45"/>
      <c r="K598" s="46"/>
      <c r="L598" s="47"/>
    </row>
    <row r="599">
      <c r="A599" s="53"/>
      <c r="B599" s="45"/>
      <c r="C599" s="45"/>
      <c r="D599" s="45"/>
      <c r="E599" s="45"/>
      <c r="F599" s="45"/>
      <c r="G599" s="45"/>
      <c r="H599" s="44"/>
      <c r="I599" s="45"/>
      <c r="J599" s="45"/>
      <c r="K599" s="46"/>
      <c r="L599" s="47"/>
    </row>
    <row r="600">
      <c r="A600" s="53"/>
      <c r="B600" s="45"/>
      <c r="C600" s="45"/>
      <c r="D600" s="45"/>
      <c r="E600" s="45"/>
      <c r="F600" s="45"/>
      <c r="G600" s="45"/>
      <c r="H600" s="44"/>
      <c r="I600" s="45"/>
      <c r="J600" s="45"/>
      <c r="K600" s="46"/>
      <c r="L600" s="47"/>
    </row>
    <row r="601">
      <c r="A601" s="53"/>
      <c r="B601" s="45"/>
      <c r="C601" s="45"/>
      <c r="D601" s="45"/>
      <c r="E601" s="45"/>
      <c r="F601" s="45"/>
      <c r="G601" s="45"/>
      <c r="H601" s="44"/>
      <c r="I601" s="45"/>
      <c r="J601" s="45"/>
      <c r="K601" s="46"/>
      <c r="L601" s="47"/>
    </row>
    <row r="602">
      <c r="A602" s="53"/>
      <c r="B602" s="45"/>
      <c r="C602" s="45"/>
      <c r="D602" s="45"/>
      <c r="E602" s="45"/>
      <c r="F602" s="45"/>
      <c r="G602" s="45"/>
      <c r="H602" s="44"/>
      <c r="I602" s="45"/>
      <c r="J602" s="45"/>
      <c r="K602" s="46"/>
      <c r="L602" s="47"/>
    </row>
    <row r="603">
      <c r="A603" s="53"/>
      <c r="B603" s="45"/>
      <c r="C603" s="45"/>
      <c r="D603" s="45"/>
      <c r="E603" s="45"/>
      <c r="F603" s="45"/>
      <c r="G603" s="45"/>
      <c r="H603" s="44"/>
      <c r="I603" s="45"/>
      <c r="J603" s="45"/>
      <c r="K603" s="46"/>
      <c r="L603" s="47"/>
    </row>
    <row r="604">
      <c r="A604" s="53"/>
      <c r="B604" s="45"/>
      <c r="C604" s="45"/>
      <c r="D604" s="45"/>
      <c r="E604" s="45"/>
      <c r="F604" s="45"/>
      <c r="G604" s="45"/>
      <c r="H604" s="44"/>
      <c r="I604" s="45"/>
      <c r="J604" s="45"/>
      <c r="K604" s="46"/>
      <c r="L604" s="47"/>
    </row>
    <row r="605">
      <c r="A605" s="53"/>
      <c r="B605" s="45"/>
      <c r="C605" s="45"/>
      <c r="D605" s="45"/>
      <c r="E605" s="45"/>
      <c r="F605" s="45"/>
      <c r="G605" s="45"/>
      <c r="H605" s="44"/>
      <c r="I605" s="45"/>
      <c r="J605" s="45"/>
      <c r="K605" s="46"/>
      <c r="L605" s="47"/>
    </row>
    <row r="606">
      <c r="A606" s="53"/>
      <c r="B606" s="45"/>
      <c r="C606" s="45"/>
      <c r="D606" s="45"/>
      <c r="E606" s="45"/>
      <c r="F606" s="45"/>
      <c r="G606" s="45"/>
      <c r="H606" s="44"/>
      <c r="I606" s="45"/>
      <c r="J606" s="45"/>
      <c r="K606" s="46"/>
      <c r="L606" s="47"/>
    </row>
    <row r="607">
      <c r="A607" s="53"/>
      <c r="B607" s="45"/>
      <c r="C607" s="45"/>
      <c r="D607" s="45"/>
      <c r="E607" s="45"/>
      <c r="F607" s="45"/>
      <c r="G607" s="45"/>
      <c r="H607" s="44"/>
      <c r="I607" s="45"/>
      <c r="J607" s="45"/>
      <c r="K607" s="46"/>
      <c r="L607" s="47"/>
    </row>
    <row r="608">
      <c r="A608" s="53"/>
      <c r="B608" s="45"/>
      <c r="C608" s="45"/>
      <c r="D608" s="45"/>
      <c r="E608" s="45"/>
      <c r="F608" s="45"/>
      <c r="G608" s="45"/>
      <c r="H608" s="44"/>
      <c r="I608" s="45"/>
      <c r="J608" s="45"/>
      <c r="K608" s="46"/>
      <c r="L608" s="47"/>
    </row>
    <row r="609">
      <c r="A609" s="53"/>
      <c r="B609" s="45"/>
      <c r="C609" s="45"/>
      <c r="D609" s="45"/>
      <c r="E609" s="45"/>
      <c r="F609" s="45"/>
      <c r="G609" s="45"/>
      <c r="H609" s="44"/>
      <c r="I609" s="45"/>
      <c r="J609" s="45"/>
      <c r="K609" s="46"/>
      <c r="L609" s="47"/>
    </row>
    <row r="610">
      <c r="A610" s="53"/>
      <c r="B610" s="45"/>
      <c r="C610" s="45"/>
      <c r="D610" s="45"/>
      <c r="E610" s="45"/>
      <c r="F610" s="45"/>
      <c r="G610" s="45"/>
      <c r="H610" s="44"/>
      <c r="I610" s="45"/>
      <c r="J610" s="45"/>
      <c r="K610" s="46"/>
      <c r="L610" s="47"/>
    </row>
    <row r="611">
      <c r="A611" s="53"/>
      <c r="B611" s="45"/>
      <c r="C611" s="45"/>
      <c r="D611" s="45"/>
      <c r="E611" s="45"/>
      <c r="F611" s="45"/>
      <c r="G611" s="45"/>
      <c r="H611" s="44"/>
      <c r="I611" s="45"/>
      <c r="J611" s="45"/>
      <c r="K611" s="46"/>
      <c r="L611" s="47"/>
    </row>
    <row r="612">
      <c r="A612" s="53"/>
      <c r="B612" s="45"/>
      <c r="C612" s="45"/>
      <c r="D612" s="45"/>
      <c r="E612" s="45"/>
      <c r="F612" s="45"/>
      <c r="G612" s="45"/>
      <c r="H612" s="44"/>
      <c r="I612" s="45"/>
      <c r="J612" s="45"/>
      <c r="K612" s="46"/>
      <c r="L612" s="47"/>
    </row>
    <row r="613">
      <c r="A613" s="53"/>
      <c r="B613" s="45"/>
      <c r="C613" s="45"/>
      <c r="D613" s="45"/>
      <c r="E613" s="45"/>
      <c r="F613" s="45"/>
      <c r="G613" s="45"/>
      <c r="H613" s="44"/>
      <c r="I613" s="45"/>
      <c r="J613" s="45"/>
      <c r="K613" s="46"/>
      <c r="L613" s="47"/>
    </row>
    <row r="614">
      <c r="A614" s="53"/>
      <c r="B614" s="45"/>
      <c r="C614" s="45"/>
      <c r="D614" s="45"/>
      <c r="E614" s="45"/>
      <c r="F614" s="45"/>
      <c r="G614" s="45"/>
      <c r="H614" s="44"/>
      <c r="I614" s="45"/>
      <c r="J614" s="45"/>
      <c r="K614" s="46"/>
      <c r="L614" s="47"/>
    </row>
    <row r="615">
      <c r="A615" s="53"/>
      <c r="B615" s="45"/>
      <c r="C615" s="45"/>
      <c r="D615" s="45"/>
      <c r="E615" s="45"/>
      <c r="F615" s="45"/>
      <c r="G615" s="45"/>
      <c r="H615" s="44"/>
      <c r="I615" s="45"/>
      <c r="J615" s="45"/>
      <c r="K615" s="46"/>
      <c r="L615" s="47"/>
    </row>
    <row r="616">
      <c r="A616" s="53"/>
      <c r="B616" s="45"/>
      <c r="C616" s="45"/>
      <c r="D616" s="45"/>
      <c r="E616" s="45"/>
      <c r="F616" s="45"/>
      <c r="G616" s="45"/>
      <c r="H616" s="44"/>
      <c r="I616" s="45"/>
      <c r="J616" s="45"/>
      <c r="K616" s="46"/>
      <c r="L616" s="47"/>
    </row>
    <row r="617">
      <c r="A617" s="53"/>
      <c r="B617" s="45"/>
      <c r="C617" s="45"/>
      <c r="D617" s="45"/>
      <c r="E617" s="45"/>
      <c r="F617" s="45"/>
      <c r="G617" s="45"/>
      <c r="H617" s="44"/>
      <c r="I617" s="45"/>
      <c r="J617" s="45"/>
      <c r="K617" s="46"/>
      <c r="L617" s="47"/>
    </row>
    <row r="618">
      <c r="A618" s="53"/>
      <c r="B618" s="45"/>
      <c r="C618" s="45"/>
      <c r="D618" s="45"/>
      <c r="E618" s="45"/>
      <c r="F618" s="45"/>
      <c r="G618" s="45"/>
      <c r="H618" s="44"/>
      <c r="I618" s="45"/>
      <c r="J618" s="45"/>
      <c r="K618" s="46"/>
      <c r="L618" s="47"/>
    </row>
    <row r="619">
      <c r="A619" s="53"/>
      <c r="B619" s="45"/>
      <c r="C619" s="45"/>
      <c r="D619" s="45"/>
      <c r="E619" s="45"/>
      <c r="F619" s="45"/>
      <c r="G619" s="45"/>
      <c r="H619" s="44"/>
      <c r="I619" s="45"/>
      <c r="J619" s="45"/>
      <c r="K619" s="46"/>
      <c r="L619" s="47"/>
    </row>
    <row r="620">
      <c r="A620" s="53"/>
      <c r="B620" s="45"/>
      <c r="C620" s="45"/>
      <c r="D620" s="45"/>
      <c r="E620" s="45"/>
      <c r="F620" s="45"/>
      <c r="G620" s="45"/>
      <c r="H620" s="44"/>
      <c r="I620" s="45"/>
      <c r="J620" s="45"/>
      <c r="K620" s="46"/>
      <c r="L620" s="47"/>
    </row>
    <row r="621">
      <c r="A621" s="53"/>
      <c r="B621" s="45"/>
      <c r="C621" s="45"/>
      <c r="D621" s="45"/>
      <c r="E621" s="45"/>
      <c r="F621" s="45"/>
      <c r="G621" s="45"/>
      <c r="H621" s="44"/>
      <c r="I621" s="45"/>
      <c r="J621" s="45"/>
      <c r="K621" s="46"/>
      <c r="L621" s="47"/>
    </row>
    <row r="622">
      <c r="A622" s="53"/>
      <c r="B622" s="45"/>
      <c r="C622" s="45"/>
      <c r="D622" s="45"/>
      <c r="E622" s="45"/>
      <c r="F622" s="45"/>
      <c r="G622" s="45"/>
      <c r="H622" s="44"/>
      <c r="I622" s="45"/>
      <c r="J622" s="45"/>
      <c r="K622" s="46"/>
      <c r="L622" s="47"/>
    </row>
    <row r="623">
      <c r="A623" s="53"/>
      <c r="B623" s="45"/>
      <c r="C623" s="45"/>
      <c r="D623" s="45"/>
      <c r="E623" s="45"/>
      <c r="F623" s="45"/>
      <c r="G623" s="45"/>
      <c r="H623" s="44"/>
      <c r="I623" s="45"/>
      <c r="J623" s="45"/>
      <c r="K623" s="46"/>
      <c r="L623" s="47"/>
    </row>
    <row r="624">
      <c r="A624" s="53"/>
      <c r="B624" s="45"/>
      <c r="C624" s="45"/>
      <c r="D624" s="45"/>
      <c r="E624" s="45"/>
      <c r="F624" s="45"/>
      <c r="G624" s="45"/>
      <c r="H624" s="44"/>
      <c r="I624" s="45"/>
      <c r="J624" s="45"/>
      <c r="K624" s="46"/>
      <c r="L624" s="47"/>
    </row>
    <row r="625">
      <c r="A625" s="53"/>
      <c r="B625" s="45"/>
      <c r="C625" s="45"/>
      <c r="D625" s="45"/>
      <c r="E625" s="45"/>
      <c r="F625" s="45"/>
      <c r="G625" s="45"/>
      <c r="H625" s="44"/>
      <c r="I625" s="45"/>
      <c r="J625" s="45"/>
      <c r="K625" s="46"/>
      <c r="L625" s="47"/>
    </row>
    <row r="626">
      <c r="A626" s="53"/>
      <c r="B626" s="45"/>
      <c r="C626" s="45"/>
      <c r="D626" s="45"/>
      <c r="E626" s="45"/>
      <c r="F626" s="45"/>
      <c r="G626" s="45"/>
      <c r="H626" s="44"/>
      <c r="I626" s="45"/>
      <c r="J626" s="45"/>
      <c r="K626" s="46"/>
      <c r="L626" s="47"/>
    </row>
    <row r="627">
      <c r="A627" s="53"/>
      <c r="B627" s="45"/>
      <c r="C627" s="45"/>
      <c r="D627" s="45"/>
      <c r="E627" s="45"/>
      <c r="F627" s="45"/>
      <c r="G627" s="45"/>
      <c r="H627" s="44"/>
      <c r="I627" s="45"/>
      <c r="J627" s="45"/>
      <c r="K627" s="46"/>
      <c r="L627" s="47"/>
    </row>
    <row r="628">
      <c r="A628" s="53"/>
      <c r="B628" s="45"/>
      <c r="C628" s="45"/>
      <c r="D628" s="45"/>
      <c r="E628" s="45"/>
      <c r="F628" s="45"/>
      <c r="G628" s="45"/>
      <c r="H628" s="44"/>
      <c r="I628" s="45"/>
      <c r="J628" s="45"/>
      <c r="K628" s="46"/>
      <c r="L628" s="47"/>
    </row>
    <row r="629">
      <c r="A629" s="53"/>
      <c r="B629" s="45"/>
      <c r="C629" s="45"/>
      <c r="D629" s="45"/>
      <c r="E629" s="45"/>
      <c r="F629" s="45"/>
      <c r="G629" s="45"/>
      <c r="H629" s="44"/>
      <c r="I629" s="45"/>
      <c r="J629" s="45"/>
      <c r="K629" s="46"/>
      <c r="L629" s="47"/>
    </row>
    <row r="630">
      <c r="A630" s="53"/>
      <c r="B630" s="45"/>
      <c r="C630" s="45"/>
      <c r="D630" s="45"/>
      <c r="E630" s="45"/>
      <c r="F630" s="45"/>
      <c r="G630" s="45"/>
      <c r="H630" s="44"/>
      <c r="I630" s="45"/>
      <c r="J630" s="45"/>
      <c r="K630" s="46"/>
      <c r="L630" s="47"/>
    </row>
    <row r="631">
      <c r="A631" s="53"/>
      <c r="B631" s="45"/>
      <c r="C631" s="45"/>
      <c r="D631" s="45"/>
      <c r="E631" s="45"/>
      <c r="F631" s="45"/>
      <c r="G631" s="45"/>
      <c r="H631" s="44"/>
      <c r="I631" s="45"/>
      <c r="J631" s="45"/>
      <c r="K631" s="46"/>
      <c r="L631" s="47"/>
    </row>
    <row r="632">
      <c r="A632" s="53"/>
      <c r="B632" s="45"/>
      <c r="C632" s="45"/>
      <c r="D632" s="45"/>
      <c r="E632" s="45"/>
      <c r="F632" s="45"/>
      <c r="G632" s="45"/>
      <c r="H632" s="44"/>
      <c r="I632" s="45"/>
      <c r="J632" s="45"/>
      <c r="K632" s="46"/>
      <c r="L632" s="47"/>
    </row>
    <row r="633">
      <c r="A633" s="53"/>
      <c r="B633" s="45"/>
      <c r="C633" s="45"/>
      <c r="D633" s="45"/>
      <c r="E633" s="45"/>
      <c r="F633" s="45"/>
      <c r="G633" s="45"/>
      <c r="H633" s="44"/>
      <c r="I633" s="45"/>
      <c r="J633" s="45"/>
      <c r="K633" s="46"/>
      <c r="L633" s="47"/>
    </row>
    <row r="634">
      <c r="A634" s="53"/>
      <c r="B634" s="45"/>
      <c r="C634" s="45"/>
      <c r="D634" s="45"/>
      <c r="E634" s="45"/>
      <c r="F634" s="45"/>
      <c r="G634" s="45"/>
      <c r="H634" s="44"/>
      <c r="I634" s="45"/>
      <c r="J634" s="45"/>
      <c r="K634" s="46"/>
      <c r="L634" s="47"/>
    </row>
    <row r="635">
      <c r="A635" s="53"/>
      <c r="B635" s="45"/>
      <c r="C635" s="45"/>
      <c r="D635" s="45"/>
      <c r="E635" s="45"/>
      <c r="F635" s="45"/>
      <c r="G635" s="45"/>
      <c r="H635" s="44"/>
      <c r="I635" s="45"/>
      <c r="J635" s="45"/>
      <c r="K635" s="46"/>
      <c r="L635" s="47"/>
    </row>
    <row r="636">
      <c r="A636" s="53"/>
      <c r="B636" s="45"/>
      <c r="C636" s="45"/>
      <c r="D636" s="45"/>
      <c r="E636" s="45"/>
      <c r="F636" s="45"/>
      <c r="G636" s="45"/>
      <c r="H636" s="44"/>
      <c r="I636" s="45"/>
      <c r="J636" s="45"/>
      <c r="K636" s="46"/>
      <c r="L636" s="47"/>
    </row>
    <row r="637">
      <c r="A637" s="53"/>
      <c r="B637" s="45"/>
      <c r="C637" s="45"/>
      <c r="D637" s="45"/>
      <c r="E637" s="45"/>
      <c r="F637" s="45"/>
      <c r="G637" s="45"/>
      <c r="H637" s="44"/>
      <c r="I637" s="45"/>
      <c r="J637" s="45"/>
      <c r="K637" s="46"/>
      <c r="L637" s="47"/>
    </row>
    <row r="638">
      <c r="A638" s="53"/>
      <c r="B638" s="45"/>
      <c r="C638" s="45"/>
      <c r="D638" s="45"/>
      <c r="E638" s="45"/>
      <c r="F638" s="45"/>
      <c r="G638" s="45"/>
      <c r="H638" s="44"/>
      <c r="I638" s="45"/>
      <c r="J638" s="45"/>
      <c r="K638" s="46"/>
      <c r="L638" s="47"/>
    </row>
    <row r="639">
      <c r="A639" s="53"/>
      <c r="B639" s="45"/>
      <c r="C639" s="45"/>
      <c r="D639" s="45"/>
      <c r="E639" s="45"/>
      <c r="F639" s="45"/>
      <c r="G639" s="45"/>
      <c r="H639" s="44"/>
      <c r="I639" s="45"/>
      <c r="J639" s="45"/>
      <c r="K639" s="46"/>
      <c r="L639" s="47"/>
    </row>
    <row r="640">
      <c r="A640" s="53"/>
      <c r="B640" s="45"/>
      <c r="C640" s="45"/>
      <c r="D640" s="45"/>
      <c r="E640" s="45"/>
      <c r="F640" s="45"/>
      <c r="G640" s="45"/>
      <c r="H640" s="44"/>
      <c r="I640" s="45"/>
      <c r="J640" s="45"/>
      <c r="K640" s="46"/>
      <c r="L640" s="47"/>
    </row>
    <row r="641">
      <c r="A641" s="53"/>
      <c r="B641" s="45"/>
      <c r="C641" s="45"/>
      <c r="D641" s="45"/>
      <c r="E641" s="45"/>
      <c r="F641" s="45"/>
      <c r="G641" s="45"/>
      <c r="H641" s="44"/>
      <c r="I641" s="45"/>
      <c r="J641" s="45"/>
      <c r="K641" s="46"/>
      <c r="L641" s="47"/>
    </row>
    <row r="642">
      <c r="A642" s="53"/>
      <c r="B642" s="45"/>
      <c r="C642" s="45"/>
      <c r="D642" s="45"/>
      <c r="E642" s="45"/>
      <c r="F642" s="45"/>
      <c r="G642" s="45"/>
      <c r="H642" s="44"/>
      <c r="I642" s="45"/>
      <c r="J642" s="45"/>
      <c r="K642" s="46"/>
      <c r="L642" s="47"/>
    </row>
    <row r="643">
      <c r="A643" s="53"/>
      <c r="B643" s="45"/>
      <c r="C643" s="45"/>
      <c r="D643" s="45"/>
      <c r="E643" s="45"/>
      <c r="F643" s="45"/>
      <c r="G643" s="45"/>
      <c r="H643" s="44"/>
      <c r="I643" s="45"/>
      <c r="J643" s="45"/>
      <c r="K643" s="46"/>
      <c r="L643" s="47"/>
    </row>
    <row r="644">
      <c r="A644" s="53"/>
      <c r="B644" s="45"/>
      <c r="C644" s="45"/>
      <c r="D644" s="45"/>
      <c r="E644" s="45"/>
      <c r="F644" s="45"/>
      <c r="G644" s="45"/>
      <c r="H644" s="44"/>
      <c r="I644" s="45"/>
      <c r="J644" s="45"/>
      <c r="K644" s="46"/>
      <c r="L644" s="47"/>
    </row>
    <row r="645">
      <c r="A645" s="53"/>
      <c r="B645" s="45"/>
      <c r="C645" s="45"/>
      <c r="D645" s="45"/>
      <c r="E645" s="45"/>
      <c r="F645" s="45"/>
      <c r="G645" s="45"/>
      <c r="H645" s="44"/>
      <c r="I645" s="45"/>
      <c r="J645" s="45"/>
      <c r="K645" s="46"/>
      <c r="L645" s="47"/>
    </row>
    <row r="646">
      <c r="A646" s="53"/>
      <c r="B646" s="45"/>
      <c r="C646" s="45"/>
      <c r="D646" s="45"/>
      <c r="E646" s="45"/>
      <c r="F646" s="45"/>
      <c r="G646" s="45"/>
      <c r="H646" s="44"/>
      <c r="I646" s="45"/>
      <c r="J646" s="45"/>
      <c r="K646" s="46"/>
      <c r="L646" s="47"/>
    </row>
    <row r="647">
      <c r="A647" s="53"/>
      <c r="B647" s="45"/>
      <c r="C647" s="45"/>
      <c r="D647" s="45"/>
      <c r="E647" s="45"/>
      <c r="F647" s="45"/>
      <c r="G647" s="45"/>
      <c r="H647" s="44"/>
      <c r="I647" s="45"/>
      <c r="J647" s="45"/>
      <c r="K647" s="46"/>
      <c r="L647" s="47"/>
    </row>
    <row r="648">
      <c r="A648" s="53"/>
      <c r="B648" s="45"/>
      <c r="C648" s="45"/>
      <c r="D648" s="45"/>
      <c r="E648" s="45"/>
      <c r="F648" s="45"/>
      <c r="G648" s="45"/>
      <c r="H648" s="44"/>
      <c r="I648" s="45"/>
      <c r="J648" s="45"/>
      <c r="K648" s="46"/>
      <c r="L648" s="47"/>
    </row>
    <row r="649">
      <c r="A649" s="53"/>
      <c r="B649" s="45"/>
      <c r="C649" s="45"/>
      <c r="D649" s="45"/>
      <c r="E649" s="45"/>
      <c r="F649" s="45"/>
      <c r="G649" s="45"/>
      <c r="H649" s="44"/>
      <c r="I649" s="45"/>
      <c r="J649" s="45"/>
      <c r="K649" s="46"/>
      <c r="L649" s="47"/>
    </row>
    <row r="650">
      <c r="A650" s="53"/>
      <c r="B650" s="45"/>
      <c r="C650" s="45"/>
      <c r="D650" s="45"/>
      <c r="E650" s="45"/>
      <c r="F650" s="45"/>
      <c r="G650" s="45"/>
      <c r="H650" s="44"/>
      <c r="I650" s="45"/>
      <c r="J650" s="45"/>
      <c r="K650" s="46"/>
      <c r="L650" s="47"/>
    </row>
    <row r="651">
      <c r="A651" s="53"/>
      <c r="B651" s="45"/>
      <c r="C651" s="45"/>
      <c r="D651" s="45"/>
      <c r="E651" s="45"/>
      <c r="F651" s="45"/>
      <c r="G651" s="45"/>
      <c r="H651" s="44"/>
      <c r="I651" s="45"/>
      <c r="J651" s="45"/>
      <c r="K651" s="46"/>
      <c r="L651" s="47"/>
    </row>
    <row r="652">
      <c r="A652" s="53"/>
      <c r="B652" s="45"/>
      <c r="C652" s="45"/>
      <c r="D652" s="45"/>
      <c r="E652" s="45"/>
      <c r="F652" s="45"/>
      <c r="G652" s="45"/>
      <c r="H652" s="44"/>
      <c r="I652" s="45"/>
      <c r="J652" s="45"/>
      <c r="K652" s="46"/>
      <c r="L652" s="47"/>
    </row>
    <row r="653">
      <c r="A653" s="53"/>
      <c r="B653" s="45"/>
      <c r="C653" s="45"/>
      <c r="D653" s="45"/>
      <c r="E653" s="45"/>
      <c r="F653" s="45"/>
      <c r="G653" s="45"/>
      <c r="H653" s="44"/>
      <c r="I653" s="45"/>
      <c r="J653" s="45"/>
      <c r="K653" s="46"/>
      <c r="L653" s="47"/>
    </row>
    <row r="654">
      <c r="A654" s="53"/>
      <c r="B654" s="45"/>
      <c r="C654" s="45"/>
      <c r="D654" s="45"/>
      <c r="E654" s="45"/>
      <c r="F654" s="45"/>
      <c r="G654" s="45"/>
      <c r="H654" s="44"/>
      <c r="I654" s="45"/>
      <c r="J654" s="45"/>
      <c r="K654" s="46"/>
      <c r="L654" s="47"/>
    </row>
    <row r="655">
      <c r="A655" s="53"/>
      <c r="B655" s="45"/>
      <c r="C655" s="45"/>
      <c r="D655" s="45"/>
      <c r="E655" s="45"/>
      <c r="F655" s="45"/>
      <c r="G655" s="45"/>
      <c r="H655" s="44"/>
      <c r="I655" s="45"/>
      <c r="J655" s="45"/>
      <c r="K655" s="46"/>
      <c r="L655" s="47"/>
    </row>
    <row r="656">
      <c r="A656" s="53"/>
      <c r="B656" s="45"/>
      <c r="C656" s="45"/>
      <c r="D656" s="45"/>
      <c r="E656" s="45"/>
      <c r="F656" s="45"/>
      <c r="G656" s="45"/>
      <c r="H656" s="44"/>
      <c r="I656" s="45"/>
      <c r="J656" s="45"/>
      <c r="K656" s="46"/>
      <c r="L656" s="47"/>
    </row>
    <row r="657">
      <c r="A657" s="53"/>
      <c r="B657" s="45"/>
      <c r="C657" s="45"/>
      <c r="D657" s="45"/>
      <c r="E657" s="45"/>
      <c r="F657" s="45"/>
      <c r="G657" s="45"/>
      <c r="H657" s="44"/>
      <c r="I657" s="45"/>
      <c r="J657" s="45"/>
      <c r="K657" s="46"/>
      <c r="L657" s="47"/>
    </row>
    <row r="658">
      <c r="A658" s="53"/>
      <c r="B658" s="45"/>
      <c r="C658" s="45"/>
      <c r="D658" s="45"/>
      <c r="E658" s="45"/>
      <c r="F658" s="45"/>
      <c r="G658" s="45"/>
      <c r="H658" s="44"/>
      <c r="I658" s="45"/>
      <c r="J658" s="45"/>
      <c r="K658" s="46"/>
      <c r="L658" s="47"/>
    </row>
    <row r="659">
      <c r="A659" s="53"/>
      <c r="B659" s="45"/>
      <c r="C659" s="45"/>
      <c r="D659" s="45"/>
      <c r="E659" s="45"/>
      <c r="F659" s="45"/>
      <c r="G659" s="45"/>
      <c r="H659" s="44"/>
      <c r="I659" s="45"/>
      <c r="J659" s="45"/>
      <c r="K659" s="46"/>
      <c r="L659" s="47"/>
    </row>
    <row r="660">
      <c r="A660" s="53"/>
      <c r="B660" s="45"/>
      <c r="C660" s="45"/>
      <c r="D660" s="45"/>
      <c r="E660" s="45"/>
      <c r="F660" s="45"/>
      <c r="G660" s="45"/>
      <c r="H660" s="44"/>
      <c r="I660" s="45"/>
      <c r="J660" s="45"/>
      <c r="K660" s="46"/>
      <c r="L660" s="47"/>
    </row>
    <row r="661">
      <c r="A661" s="53"/>
      <c r="B661" s="45"/>
      <c r="C661" s="45"/>
      <c r="D661" s="45"/>
      <c r="E661" s="45"/>
      <c r="F661" s="45"/>
      <c r="G661" s="45"/>
      <c r="H661" s="44"/>
      <c r="I661" s="45"/>
      <c r="J661" s="45"/>
      <c r="K661" s="46"/>
      <c r="L661" s="47"/>
    </row>
    <row r="662">
      <c r="A662" s="53"/>
      <c r="B662" s="45"/>
      <c r="C662" s="45"/>
      <c r="D662" s="45"/>
      <c r="E662" s="45"/>
      <c r="F662" s="45"/>
      <c r="G662" s="45"/>
      <c r="H662" s="44"/>
      <c r="I662" s="45"/>
      <c r="J662" s="45"/>
      <c r="K662" s="46"/>
      <c r="L662" s="47"/>
    </row>
    <row r="663">
      <c r="A663" s="53"/>
      <c r="B663" s="45"/>
      <c r="C663" s="45"/>
      <c r="D663" s="45"/>
      <c r="E663" s="45"/>
      <c r="F663" s="45"/>
      <c r="G663" s="45"/>
      <c r="H663" s="44"/>
      <c r="I663" s="45"/>
      <c r="J663" s="45"/>
      <c r="K663" s="46"/>
      <c r="L663" s="47"/>
    </row>
    <row r="664">
      <c r="A664" s="53"/>
      <c r="B664" s="45"/>
      <c r="C664" s="45"/>
      <c r="D664" s="45"/>
      <c r="E664" s="45"/>
      <c r="F664" s="45"/>
      <c r="G664" s="45"/>
      <c r="H664" s="44"/>
      <c r="I664" s="45"/>
      <c r="J664" s="45"/>
      <c r="K664" s="46"/>
      <c r="L664" s="47"/>
    </row>
    <row r="665">
      <c r="A665" s="53"/>
      <c r="B665" s="45"/>
      <c r="C665" s="45"/>
      <c r="D665" s="45"/>
      <c r="E665" s="45"/>
      <c r="F665" s="45"/>
      <c r="G665" s="45"/>
      <c r="H665" s="44"/>
      <c r="I665" s="45"/>
      <c r="J665" s="45"/>
      <c r="K665" s="46"/>
      <c r="L665" s="47"/>
    </row>
    <row r="666">
      <c r="A666" s="53"/>
      <c r="B666" s="45"/>
      <c r="C666" s="45"/>
      <c r="D666" s="45"/>
      <c r="E666" s="45"/>
      <c r="F666" s="45"/>
      <c r="G666" s="45"/>
      <c r="H666" s="44"/>
      <c r="I666" s="45"/>
      <c r="J666" s="45"/>
      <c r="K666" s="46"/>
      <c r="L666" s="47"/>
    </row>
    <row r="667">
      <c r="A667" s="53"/>
      <c r="B667" s="45"/>
      <c r="C667" s="45"/>
      <c r="D667" s="45"/>
      <c r="E667" s="45"/>
      <c r="F667" s="45"/>
      <c r="G667" s="45"/>
      <c r="H667" s="44"/>
      <c r="I667" s="45"/>
      <c r="J667" s="45"/>
      <c r="K667" s="46"/>
      <c r="L667" s="47"/>
    </row>
    <row r="668">
      <c r="A668" s="53"/>
      <c r="B668" s="45"/>
      <c r="C668" s="45"/>
      <c r="D668" s="45"/>
      <c r="E668" s="45"/>
      <c r="F668" s="45"/>
      <c r="G668" s="45"/>
      <c r="H668" s="44"/>
      <c r="I668" s="45"/>
      <c r="J668" s="45"/>
      <c r="K668" s="46"/>
      <c r="L668" s="47"/>
    </row>
    <row r="669">
      <c r="A669" s="53"/>
      <c r="B669" s="45"/>
      <c r="C669" s="45"/>
      <c r="D669" s="45"/>
      <c r="E669" s="45"/>
      <c r="F669" s="45"/>
      <c r="G669" s="45"/>
      <c r="H669" s="44"/>
      <c r="I669" s="45"/>
      <c r="J669" s="45"/>
      <c r="K669" s="46"/>
      <c r="L669" s="47"/>
    </row>
    <row r="670">
      <c r="A670" s="53"/>
      <c r="B670" s="45"/>
      <c r="C670" s="45"/>
      <c r="D670" s="45"/>
      <c r="E670" s="45"/>
      <c r="F670" s="45"/>
      <c r="G670" s="45"/>
      <c r="H670" s="44"/>
      <c r="I670" s="45"/>
      <c r="J670" s="45"/>
      <c r="K670" s="46"/>
      <c r="L670" s="47"/>
    </row>
    <row r="671">
      <c r="A671" s="53"/>
      <c r="B671" s="45"/>
      <c r="C671" s="45"/>
      <c r="D671" s="45"/>
      <c r="E671" s="45"/>
      <c r="F671" s="45"/>
      <c r="G671" s="45"/>
      <c r="H671" s="44"/>
      <c r="I671" s="45"/>
      <c r="J671" s="45"/>
      <c r="K671" s="46"/>
      <c r="L671" s="47"/>
    </row>
    <row r="672">
      <c r="A672" s="53"/>
      <c r="B672" s="45"/>
      <c r="C672" s="45"/>
      <c r="D672" s="45"/>
      <c r="E672" s="45"/>
      <c r="F672" s="45"/>
      <c r="G672" s="45"/>
      <c r="H672" s="44"/>
      <c r="I672" s="45"/>
      <c r="J672" s="45"/>
      <c r="K672" s="46"/>
      <c r="L672" s="47"/>
    </row>
    <row r="673">
      <c r="A673" s="53"/>
      <c r="B673" s="45"/>
      <c r="C673" s="45"/>
      <c r="D673" s="45"/>
      <c r="E673" s="45"/>
      <c r="F673" s="45"/>
      <c r="G673" s="45"/>
      <c r="H673" s="44"/>
      <c r="I673" s="45"/>
      <c r="J673" s="45"/>
      <c r="K673" s="46"/>
      <c r="L673" s="47"/>
    </row>
    <row r="674">
      <c r="A674" s="53"/>
      <c r="B674" s="45"/>
      <c r="C674" s="45"/>
      <c r="D674" s="45"/>
      <c r="E674" s="45"/>
      <c r="F674" s="45"/>
      <c r="G674" s="45"/>
      <c r="H674" s="44"/>
      <c r="I674" s="45"/>
      <c r="J674" s="45"/>
      <c r="K674" s="46"/>
      <c r="L674" s="47"/>
    </row>
    <row r="675">
      <c r="A675" s="53"/>
      <c r="B675" s="45"/>
      <c r="C675" s="45"/>
      <c r="D675" s="45"/>
      <c r="E675" s="45"/>
      <c r="F675" s="45"/>
      <c r="G675" s="45"/>
      <c r="H675" s="44"/>
      <c r="I675" s="45"/>
      <c r="J675" s="45"/>
      <c r="K675" s="46"/>
      <c r="L675" s="47"/>
    </row>
    <row r="676">
      <c r="A676" s="53"/>
      <c r="B676" s="45"/>
      <c r="C676" s="45"/>
      <c r="D676" s="45"/>
      <c r="E676" s="45"/>
      <c r="F676" s="45"/>
      <c r="G676" s="45"/>
      <c r="H676" s="44"/>
      <c r="I676" s="45"/>
      <c r="J676" s="45"/>
      <c r="K676" s="46"/>
      <c r="L676" s="47"/>
    </row>
    <row r="677">
      <c r="A677" s="53"/>
      <c r="B677" s="45"/>
      <c r="C677" s="45"/>
      <c r="D677" s="45"/>
      <c r="E677" s="45"/>
      <c r="F677" s="45"/>
      <c r="G677" s="45"/>
      <c r="H677" s="44"/>
      <c r="I677" s="45"/>
      <c r="J677" s="45"/>
      <c r="K677" s="46"/>
      <c r="L677" s="47"/>
    </row>
    <row r="678">
      <c r="A678" s="53"/>
      <c r="B678" s="45"/>
      <c r="C678" s="45"/>
      <c r="D678" s="45"/>
      <c r="E678" s="45"/>
      <c r="F678" s="45"/>
      <c r="G678" s="45"/>
      <c r="H678" s="44"/>
      <c r="I678" s="45"/>
      <c r="J678" s="45"/>
      <c r="K678" s="46"/>
      <c r="L678" s="47"/>
    </row>
    <row r="679">
      <c r="A679" s="53"/>
      <c r="B679" s="45"/>
      <c r="C679" s="45"/>
      <c r="D679" s="45"/>
      <c r="E679" s="45"/>
      <c r="F679" s="45"/>
      <c r="G679" s="45"/>
      <c r="H679" s="44"/>
      <c r="I679" s="45"/>
      <c r="J679" s="45"/>
      <c r="K679" s="46"/>
      <c r="L679" s="47"/>
    </row>
    <row r="680">
      <c r="A680" s="53"/>
      <c r="B680" s="45"/>
      <c r="C680" s="45"/>
      <c r="D680" s="45"/>
      <c r="E680" s="45"/>
      <c r="F680" s="45"/>
      <c r="G680" s="45"/>
      <c r="H680" s="44"/>
      <c r="I680" s="45"/>
      <c r="J680" s="45"/>
      <c r="K680" s="46"/>
      <c r="L680" s="47"/>
    </row>
    <row r="681">
      <c r="A681" s="53"/>
      <c r="B681" s="45"/>
      <c r="C681" s="45"/>
      <c r="D681" s="45"/>
      <c r="E681" s="45"/>
      <c r="F681" s="45"/>
      <c r="G681" s="45"/>
      <c r="H681" s="44"/>
      <c r="I681" s="45"/>
      <c r="J681" s="45"/>
      <c r="K681" s="46"/>
      <c r="L681" s="47"/>
    </row>
    <row r="682">
      <c r="A682" s="53"/>
      <c r="B682" s="45"/>
      <c r="C682" s="45"/>
      <c r="D682" s="45"/>
      <c r="E682" s="45"/>
      <c r="F682" s="45"/>
      <c r="G682" s="45"/>
      <c r="H682" s="44"/>
      <c r="I682" s="45"/>
      <c r="J682" s="45"/>
      <c r="K682" s="46"/>
      <c r="L682" s="47"/>
    </row>
    <row r="683">
      <c r="A683" s="53"/>
      <c r="B683" s="45"/>
      <c r="C683" s="45"/>
      <c r="D683" s="45"/>
      <c r="E683" s="45"/>
      <c r="F683" s="45"/>
      <c r="G683" s="45"/>
      <c r="H683" s="44"/>
      <c r="I683" s="45"/>
      <c r="J683" s="45"/>
      <c r="K683" s="46"/>
      <c r="L683" s="47"/>
    </row>
    <row r="684">
      <c r="A684" s="53"/>
      <c r="B684" s="45"/>
      <c r="C684" s="45"/>
      <c r="D684" s="45"/>
      <c r="E684" s="45"/>
      <c r="F684" s="45"/>
      <c r="G684" s="45"/>
      <c r="H684" s="44"/>
      <c r="I684" s="45"/>
      <c r="J684" s="45"/>
      <c r="K684" s="46"/>
      <c r="L684" s="47"/>
    </row>
    <row r="685">
      <c r="A685" s="53"/>
      <c r="B685" s="45"/>
      <c r="C685" s="45"/>
      <c r="D685" s="45"/>
      <c r="E685" s="45"/>
      <c r="F685" s="45"/>
      <c r="G685" s="45"/>
      <c r="H685" s="44"/>
      <c r="I685" s="45"/>
      <c r="J685" s="45"/>
      <c r="K685" s="46"/>
      <c r="L685" s="47"/>
    </row>
    <row r="686">
      <c r="A686" s="53"/>
      <c r="B686" s="45"/>
      <c r="C686" s="45"/>
      <c r="D686" s="45"/>
      <c r="E686" s="45"/>
      <c r="F686" s="45"/>
      <c r="G686" s="45"/>
      <c r="H686" s="44"/>
      <c r="I686" s="45"/>
      <c r="J686" s="45"/>
      <c r="K686" s="46"/>
      <c r="L686" s="47"/>
    </row>
    <row r="687">
      <c r="A687" s="53"/>
      <c r="B687" s="45"/>
      <c r="C687" s="45"/>
      <c r="D687" s="45"/>
      <c r="E687" s="45"/>
      <c r="F687" s="45"/>
      <c r="G687" s="45"/>
      <c r="H687" s="44"/>
      <c r="I687" s="45"/>
      <c r="J687" s="45"/>
      <c r="K687" s="46"/>
      <c r="L687" s="47"/>
    </row>
    <row r="688">
      <c r="A688" s="53"/>
      <c r="B688" s="45"/>
      <c r="C688" s="45"/>
      <c r="D688" s="45"/>
      <c r="E688" s="45"/>
      <c r="F688" s="45"/>
      <c r="G688" s="45"/>
      <c r="H688" s="44"/>
      <c r="I688" s="45"/>
      <c r="J688" s="45"/>
      <c r="K688" s="46"/>
      <c r="L688" s="47"/>
    </row>
    <row r="689">
      <c r="A689" s="53"/>
      <c r="B689" s="45"/>
      <c r="C689" s="45"/>
      <c r="D689" s="45"/>
      <c r="E689" s="45"/>
      <c r="F689" s="45"/>
      <c r="G689" s="45"/>
      <c r="H689" s="44"/>
      <c r="I689" s="45"/>
      <c r="J689" s="45"/>
      <c r="K689" s="46"/>
      <c r="L689" s="47"/>
    </row>
    <row r="690">
      <c r="A690" s="53"/>
      <c r="B690" s="45"/>
      <c r="C690" s="45"/>
      <c r="D690" s="45"/>
      <c r="E690" s="45"/>
      <c r="F690" s="45"/>
      <c r="G690" s="45"/>
      <c r="H690" s="44"/>
      <c r="I690" s="45"/>
      <c r="J690" s="45"/>
      <c r="K690" s="46"/>
      <c r="L690" s="47"/>
    </row>
    <row r="691">
      <c r="A691" s="53"/>
      <c r="B691" s="45"/>
      <c r="C691" s="45"/>
      <c r="D691" s="45"/>
      <c r="E691" s="45"/>
      <c r="F691" s="45"/>
      <c r="G691" s="45"/>
      <c r="H691" s="44"/>
      <c r="I691" s="45"/>
      <c r="J691" s="45"/>
      <c r="K691" s="46"/>
      <c r="L691" s="47"/>
    </row>
    <row r="692">
      <c r="A692" s="53"/>
      <c r="B692" s="45"/>
      <c r="C692" s="45"/>
      <c r="D692" s="45"/>
      <c r="E692" s="45"/>
      <c r="F692" s="45"/>
      <c r="G692" s="45"/>
      <c r="H692" s="44"/>
      <c r="I692" s="45"/>
      <c r="J692" s="45"/>
      <c r="K692" s="46"/>
      <c r="L692" s="47"/>
    </row>
    <row r="693">
      <c r="A693" s="53"/>
      <c r="B693" s="45"/>
      <c r="C693" s="45"/>
      <c r="D693" s="45"/>
      <c r="E693" s="45"/>
      <c r="F693" s="45"/>
      <c r="G693" s="45"/>
      <c r="H693" s="44"/>
      <c r="I693" s="45"/>
      <c r="J693" s="45"/>
      <c r="K693" s="46"/>
      <c r="L693" s="47"/>
    </row>
    <row r="694">
      <c r="A694" s="53"/>
      <c r="B694" s="45"/>
      <c r="C694" s="45"/>
      <c r="D694" s="45"/>
      <c r="E694" s="45"/>
      <c r="F694" s="45"/>
      <c r="G694" s="45"/>
      <c r="H694" s="44"/>
      <c r="I694" s="45"/>
      <c r="J694" s="45"/>
      <c r="K694" s="46"/>
      <c r="L694" s="47"/>
    </row>
    <row r="695">
      <c r="A695" s="53"/>
      <c r="B695" s="45"/>
      <c r="C695" s="45"/>
      <c r="D695" s="45"/>
      <c r="E695" s="45"/>
      <c r="F695" s="45"/>
      <c r="G695" s="45"/>
      <c r="H695" s="44"/>
      <c r="I695" s="45"/>
      <c r="J695" s="45"/>
      <c r="K695" s="46"/>
      <c r="L695" s="47"/>
    </row>
    <row r="696">
      <c r="A696" s="53"/>
      <c r="B696" s="45"/>
      <c r="C696" s="45"/>
      <c r="D696" s="45"/>
      <c r="E696" s="45"/>
      <c r="F696" s="45"/>
      <c r="G696" s="45"/>
      <c r="H696" s="44"/>
      <c r="I696" s="45"/>
      <c r="J696" s="45"/>
      <c r="K696" s="46"/>
      <c r="L696" s="47"/>
    </row>
    <row r="697">
      <c r="A697" s="53"/>
      <c r="B697" s="45"/>
      <c r="C697" s="45"/>
      <c r="D697" s="45"/>
      <c r="E697" s="45"/>
      <c r="F697" s="45"/>
      <c r="G697" s="45"/>
      <c r="H697" s="44"/>
      <c r="I697" s="45"/>
      <c r="J697" s="45"/>
      <c r="K697" s="46"/>
      <c r="L697" s="47"/>
    </row>
    <row r="698">
      <c r="A698" s="53"/>
      <c r="B698" s="45"/>
      <c r="C698" s="45"/>
      <c r="D698" s="45"/>
      <c r="E698" s="45"/>
      <c r="F698" s="45"/>
      <c r="G698" s="45"/>
      <c r="H698" s="44"/>
      <c r="I698" s="45"/>
      <c r="J698" s="45"/>
      <c r="K698" s="46"/>
      <c r="L698" s="47"/>
    </row>
    <row r="699">
      <c r="A699" s="53"/>
      <c r="B699" s="45"/>
      <c r="C699" s="45"/>
      <c r="D699" s="45"/>
      <c r="E699" s="45"/>
      <c r="F699" s="45"/>
      <c r="G699" s="45"/>
      <c r="H699" s="44"/>
      <c r="I699" s="45"/>
      <c r="J699" s="45"/>
      <c r="K699" s="46"/>
      <c r="L699" s="47"/>
    </row>
    <row r="700">
      <c r="A700" s="53"/>
      <c r="B700" s="45"/>
      <c r="C700" s="45"/>
      <c r="D700" s="45"/>
      <c r="E700" s="45"/>
      <c r="F700" s="45"/>
      <c r="G700" s="45"/>
      <c r="H700" s="44"/>
      <c r="I700" s="45"/>
      <c r="J700" s="45"/>
      <c r="K700" s="46"/>
      <c r="L700" s="47"/>
    </row>
    <row r="701">
      <c r="A701" s="53"/>
      <c r="B701" s="45"/>
      <c r="C701" s="45"/>
      <c r="D701" s="45"/>
      <c r="E701" s="45"/>
      <c r="F701" s="45"/>
      <c r="G701" s="45"/>
      <c r="H701" s="44"/>
      <c r="I701" s="45"/>
      <c r="J701" s="45"/>
      <c r="K701" s="46"/>
      <c r="L701" s="47"/>
    </row>
    <row r="702">
      <c r="A702" s="53"/>
      <c r="B702" s="45"/>
      <c r="C702" s="45"/>
      <c r="D702" s="45"/>
      <c r="E702" s="45"/>
      <c r="F702" s="45"/>
      <c r="G702" s="45"/>
      <c r="H702" s="44"/>
      <c r="I702" s="45"/>
      <c r="J702" s="45"/>
      <c r="K702" s="46"/>
      <c r="L702" s="47"/>
    </row>
    <row r="703">
      <c r="A703" s="53"/>
      <c r="B703" s="45"/>
      <c r="C703" s="45"/>
      <c r="D703" s="45"/>
      <c r="E703" s="45"/>
      <c r="F703" s="45"/>
      <c r="G703" s="45"/>
      <c r="H703" s="44"/>
      <c r="I703" s="45"/>
      <c r="J703" s="45"/>
      <c r="K703" s="46"/>
      <c r="L703" s="47"/>
    </row>
    <row r="704">
      <c r="A704" s="53"/>
      <c r="B704" s="45"/>
      <c r="C704" s="45"/>
      <c r="D704" s="45"/>
      <c r="E704" s="45"/>
      <c r="F704" s="45"/>
      <c r="G704" s="45"/>
      <c r="H704" s="44"/>
      <c r="I704" s="45"/>
      <c r="J704" s="45"/>
      <c r="K704" s="46"/>
      <c r="L704" s="47"/>
    </row>
    <row r="705">
      <c r="A705" s="53"/>
      <c r="B705" s="45"/>
      <c r="C705" s="45"/>
      <c r="D705" s="45"/>
      <c r="E705" s="45"/>
      <c r="F705" s="45"/>
      <c r="G705" s="45"/>
      <c r="H705" s="44"/>
      <c r="I705" s="45"/>
      <c r="J705" s="45"/>
      <c r="K705" s="46"/>
      <c r="L705" s="47"/>
    </row>
    <row r="706">
      <c r="A706" s="53"/>
      <c r="B706" s="45"/>
      <c r="C706" s="45"/>
      <c r="D706" s="45"/>
      <c r="E706" s="45"/>
      <c r="F706" s="45"/>
      <c r="G706" s="45"/>
      <c r="H706" s="44"/>
      <c r="I706" s="45"/>
      <c r="J706" s="45"/>
      <c r="K706" s="46"/>
      <c r="L706" s="47"/>
    </row>
    <row r="707">
      <c r="A707" s="53"/>
      <c r="B707" s="45"/>
      <c r="C707" s="45"/>
      <c r="D707" s="45"/>
      <c r="E707" s="45"/>
      <c r="F707" s="45"/>
      <c r="G707" s="45"/>
      <c r="H707" s="44"/>
      <c r="I707" s="45"/>
      <c r="J707" s="45"/>
      <c r="K707" s="46"/>
      <c r="L707" s="47"/>
    </row>
    <row r="708">
      <c r="A708" s="53"/>
      <c r="B708" s="45"/>
      <c r="C708" s="45"/>
      <c r="D708" s="45"/>
      <c r="E708" s="45"/>
      <c r="F708" s="45"/>
      <c r="G708" s="45"/>
      <c r="H708" s="44"/>
      <c r="I708" s="45"/>
      <c r="J708" s="45"/>
      <c r="K708" s="46"/>
      <c r="L708" s="47"/>
    </row>
    <row r="709">
      <c r="A709" s="53"/>
      <c r="B709" s="45"/>
      <c r="C709" s="45"/>
      <c r="D709" s="45"/>
      <c r="E709" s="45"/>
      <c r="F709" s="45"/>
      <c r="G709" s="45"/>
      <c r="H709" s="44"/>
      <c r="I709" s="45"/>
      <c r="J709" s="45"/>
      <c r="K709" s="46"/>
      <c r="L709" s="47"/>
    </row>
    <row r="710">
      <c r="A710" s="53"/>
      <c r="B710" s="45"/>
      <c r="C710" s="45"/>
      <c r="D710" s="45"/>
      <c r="E710" s="45"/>
      <c r="F710" s="45"/>
      <c r="G710" s="45"/>
      <c r="H710" s="44"/>
      <c r="I710" s="45"/>
      <c r="J710" s="45"/>
      <c r="K710" s="46"/>
      <c r="L710" s="47"/>
    </row>
    <row r="711">
      <c r="A711" s="53"/>
      <c r="B711" s="45"/>
      <c r="C711" s="45"/>
      <c r="D711" s="45"/>
      <c r="E711" s="45"/>
      <c r="F711" s="45"/>
      <c r="G711" s="45"/>
      <c r="H711" s="44"/>
      <c r="I711" s="45"/>
      <c r="J711" s="45"/>
      <c r="K711" s="46"/>
      <c r="L711" s="47"/>
    </row>
    <row r="712">
      <c r="A712" s="53"/>
      <c r="B712" s="45"/>
      <c r="C712" s="45"/>
      <c r="D712" s="45"/>
      <c r="E712" s="45"/>
      <c r="F712" s="45"/>
      <c r="G712" s="45"/>
      <c r="H712" s="44"/>
      <c r="I712" s="45"/>
      <c r="J712" s="45"/>
      <c r="K712" s="46"/>
      <c r="L712" s="47"/>
    </row>
    <row r="713">
      <c r="A713" s="53"/>
      <c r="B713" s="45"/>
      <c r="C713" s="45"/>
      <c r="D713" s="45"/>
      <c r="E713" s="45"/>
      <c r="F713" s="45"/>
      <c r="G713" s="45"/>
      <c r="H713" s="44"/>
      <c r="I713" s="45"/>
      <c r="J713" s="45"/>
      <c r="K713" s="46"/>
      <c r="L713" s="47"/>
    </row>
    <row r="714">
      <c r="A714" s="53"/>
      <c r="B714" s="45"/>
      <c r="C714" s="45"/>
      <c r="D714" s="45"/>
      <c r="E714" s="45"/>
      <c r="F714" s="45"/>
      <c r="G714" s="45"/>
      <c r="H714" s="44"/>
      <c r="I714" s="45"/>
      <c r="J714" s="45"/>
      <c r="K714" s="46"/>
      <c r="L714" s="47"/>
    </row>
    <row r="715">
      <c r="A715" s="53"/>
      <c r="B715" s="45"/>
      <c r="C715" s="45"/>
      <c r="D715" s="45"/>
      <c r="E715" s="45"/>
      <c r="F715" s="45"/>
      <c r="G715" s="45"/>
      <c r="H715" s="44"/>
      <c r="I715" s="45"/>
      <c r="J715" s="45"/>
      <c r="K715" s="46"/>
      <c r="L715" s="47"/>
    </row>
    <row r="716">
      <c r="A716" s="53"/>
      <c r="B716" s="45"/>
      <c r="C716" s="45"/>
      <c r="D716" s="45"/>
      <c r="E716" s="45"/>
      <c r="F716" s="45"/>
      <c r="G716" s="45"/>
      <c r="H716" s="44"/>
      <c r="I716" s="45"/>
      <c r="J716" s="45"/>
      <c r="K716" s="46"/>
      <c r="L716" s="47"/>
    </row>
    <row r="717">
      <c r="A717" s="53"/>
      <c r="B717" s="45"/>
      <c r="C717" s="45"/>
      <c r="D717" s="45"/>
      <c r="E717" s="45"/>
      <c r="F717" s="45"/>
      <c r="G717" s="45"/>
      <c r="H717" s="44"/>
      <c r="I717" s="45"/>
      <c r="J717" s="45"/>
      <c r="K717" s="46"/>
      <c r="L717" s="47"/>
    </row>
    <row r="718">
      <c r="A718" s="53"/>
      <c r="B718" s="45"/>
      <c r="C718" s="45"/>
      <c r="D718" s="45"/>
      <c r="E718" s="45"/>
      <c r="F718" s="45"/>
      <c r="G718" s="45"/>
      <c r="H718" s="44"/>
      <c r="I718" s="45"/>
      <c r="J718" s="45"/>
      <c r="K718" s="46"/>
      <c r="L718" s="47"/>
    </row>
    <row r="719">
      <c r="A719" s="53"/>
      <c r="B719" s="45"/>
      <c r="C719" s="45"/>
      <c r="D719" s="45"/>
      <c r="E719" s="45"/>
      <c r="F719" s="45"/>
      <c r="G719" s="45"/>
      <c r="H719" s="44"/>
      <c r="I719" s="45"/>
      <c r="J719" s="45"/>
      <c r="K719" s="46"/>
      <c r="L719" s="47"/>
    </row>
    <row r="720">
      <c r="A720" s="53"/>
      <c r="B720" s="45"/>
      <c r="C720" s="45"/>
      <c r="D720" s="45"/>
      <c r="E720" s="45"/>
      <c r="F720" s="45"/>
      <c r="G720" s="45"/>
      <c r="H720" s="44"/>
      <c r="I720" s="45"/>
      <c r="J720" s="45"/>
      <c r="K720" s="46"/>
      <c r="L720" s="47"/>
    </row>
    <row r="721">
      <c r="A721" s="53"/>
      <c r="B721" s="45"/>
      <c r="C721" s="45"/>
      <c r="D721" s="45"/>
      <c r="E721" s="45"/>
      <c r="F721" s="45"/>
      <c r="G721" s="45"/>
      <c r="H721" s="44"/>
      <c r="I721" s="45"/>
      <c r="J721" s="45"/>
      <c r="K721" s="46"/>
      <c r="L721" s="47"/>
    </row>
    <row r="722">
      <c r="A722" s="53"/>
      <c r="B722" s="45"/>
      <c r="C722" s="45"/>
      <c r="D722" s="45"/>
      <c r="E722" s="45"/>
      <c r="F722" s="45"/>
      <c r="G722" s="45"/>
      <c r="H722" s="44"/>
      <c r="I722" s="45"/>
      <c r="J722" s="45"/>
      <c r="K722" s="46"/>
      <c r="L722" s="47"/>
    </row>
    <row r="723">
      <c r="A723" s="53"/>
      <c r="B723" s="45"/>
      <c r="C723" s="45"/>
      <c r="D723" s="45"/>
      <c r="E723" s="45"/>
      <c r="F723" s="45"/>
      <c r="G723" s="45"/>
      <c r="H723" s="44"/>
      <c r="I723" s="45"/>
      <c r="J723" s="45"/>
      <c r="K723" s="46"/>
      <c r="L723" s="47"/>
    </row>
    <row r="724">
      <c r="A724" s="53"/>
      <c r="B724" s="45"/>
      <c r="C724" s="45"/>
      <c r="D724" s="45"/>
      <c r="E724" s="45"/>
      <c r="F724" s="45"/>
      <c r="G724" s="45"/>
      <c r="H724" s="44"/>
      <c r="I724" s="45"/>
      <c r="J724" s="45"/>
      <c r="K724" s="46"/>
      <c r="L724" s="47"/>
    </row>
    <row r="725">
      <c r="A725" s="53"/>
      <c r="B725" s="45"/>
      <c r="C725" s="45"/>
      <c r="D725" s="45"/>
      <c r="E725" s="45"/>
      <c r="F725" s="45"/>
      <c r="G725" s="45"/>
      <c r="H725" s="44"/>
      <c r="I725" s="45"/>
      <c r="J725" s="45"/>
      <c r="K725" s="46"/>
      <c r="L725" s="47"/>
    </row>
    <row r="726">
      <c r="A726" s="53"/>
      <c r="B726" s="45"/>
      <c r="C726" s="45"/>
      <c r="D726" s="45"/>
      <c r="E726" s="45"/>
      <c r="F726" s="45"/>
      <c r="G726" s="45"/>
      <c r="H726" s="44"/>
      <c r="I726" s="45"/>
      <c r="J726" s="45"/>
      <c r="K726" s="46"/>
      <c r="L726" s="47"/>
    </row>
    <row r="727">
      <c r="A727" s="53"/>
      <c r="B727" s="45"/>
      <c r="C727" s="45"/>
      <c r="D727" s="45"/>
      <c r="E727" s="45"/>
      <c r="F727" s="45"/>
      <c r="G727" s="45"/>
      <c r="H727" s="44"/>
      <c r="I727" s="45"/>
      <c r="J727" s="45"/>
      <c r="K727" s="46"/>
      <c r="L727" s="47"/>
    </row>
    <row r="728">
      <c r="A728" s="53"/>
      <c r="B728" s="45"/>
      <c r="C728" s="45"/>
      <c r="D728" s="45"/>
      <c r="E728" s="45"/>
      <c r="F728" s="45"/>
      <c r="G728" s="45"/>
      <c r="H728" s="44"/>
      <c r="I728" s="45"/>
      <c r="J728" s="45"/>
      <c r="K728" s="46"/>
      <c r="L728" s="47"/>
    </row>
    <row r="729">
      <c r="A729" s="53"/>
      <c r="B729" s="45"/>
      <c r="C729" s="45"/>
      <c r="D729" s="45"/>
      <c r="E729" s="45"/>
      <c r="F729" s="45"/>
      <c r="G729" s="45"/>
      <c r="H729" s="44"/>
      <c r="I729" s="45"/>
      <c r="J729" s="45"/>
      <c r="K729" s="46"/>
      <c r="L729" s="47"/>
    </row>
    <row r="730">
      <c r="A730" s="53"/>
      <c r="B730" s="45"/>
      <c r="C730" s="45"/>
      <c r="D730" s="45"/>
      <c r="E730" s="45"/>
      <c r="F730" s="45"/>
      <c r="G730" s="45"/>
      <c r="H730" s="44"/>
      <c r="I730" s="45"/>
      <c r="J730" s="45"/>
      <c r="K730" s="46"/>
      <c r="L730" s="47"/>
    </row>
    <row r="731">
      <c r="A731" s="53"/>
      <c r="B731" s="45"/>
      <c r="C731" s="45"/>
      <c r="D731" s="45"/>
      <c r="E731" s="45"/>
      <c r="F731" s="45"/>
      <c r="G731" s="45"/>
      <c r="H731" s="44"/>
      <c r="I731" s="45"/>
      <c r="J731" s="45"/>
      <c r="K731" s="46"/>
      <c r="L731" s="47"/>
    </row>
    <row r="732">
      <c r="A732" s="53"/>
      <c r="B732" s="45"/>
      <c r="C732" s="45"/>
      <c r="D732" s="45"/>
      <c r="E732" s="45"/>
      <c r="F732" s="45"/>
      <c r="G732" s="45"/>
      <c r="H732" s="44"/>
      <c r="I732" s="45"/>
      <c r="J732" s="45"/>
      <c r="K732" s="46"/>
      <c r="L732" s="47"/>
    </row>
    <row r="733">
      <c r="A733" s="53"/>
      <c r="B733" s="45"/>
      <c r="C733" s="45"/>
      <c r="D733" s="45"/>
      <c r="E733" s="45"/>
      <c r="F733" s="45"/>
      <c r="G733" s="45"/>
      <c r="H733" s="44"/>
      <c r="I733" s="45"/>
      <c r="J733" s="45"/>
      <c r="K733" s="46"/>
      <c r="L733" s="47"/>
    </row>
    <row r="734">
      <c r="A734" s="53"/>
      <c r="B734" s="45"/>
      <c r="C734" s="45"/>
      <c r="D734" s="45"/>
      <c r="E734" s="45"/>
      <c r="F734" s="45"/>
      <c r="G734" s="45"/>
      <c r="H734" s="44"/>
      <c r="I734" s="45"/>
      <c r="J734" s="45"/>
      <c r="K734" s="46"/>
      <c r="L734" s="47"/>
    </row>
    <row r="735">
      <c r="A735" s="53"/>
      <c r="B735" s="45"/>
      <c r="C735" s="45"/>
      <c r="D735" s="45"/>
      <c r="E735" s="45"/>
      <c r="F735" s="45"/>
      <c r="G735" s="45"/>
      <c r="H735" s="44"/>
      <c r="I735" s="45"/>
      <c r="J735" s="45"/>
      <c r="K735" s="46"/>
      <c r="L735" s="47"/>
    </row>
    <row r="736">
      <c r="A736" s="53"/>
      <c r="B736" s="45"/>
      <c r="C736" s="45"/>
      <c r="D736" s="45"/>
      <c r="E736" s="45"/>
      <c r="F736" s="45"/>
      <c r="G736" s="45"/>
      <c r="H736" s="44"/>
      <c r="I736" s="45"/>
      <c r="J736" s="45"/>
      <c r="K736" s="46"/>
      <c r="L736" s="47"/>
    </row>
    <row r="737">
      <c r="A737" s="53"/>
      <c r="B737" s="45"/>
      <c r="C737" s="45"/>
      <c r="D737" s="45"/>
      <c r="E737" s="45"/>
      <c r="F737" s="45"/>
      <c r="G737" s="45"/>
      <c r="H737" s="44"/>
      <c r="I737" s="45"/>
      <c r="J737" s="45"/>
      <c r="K737" s="46"/>
      <c r="L737" s="47"/>
    </row>
    <row r="738">
      <c r="A738" s="53"/>
      <c r="B738" s="45"/>
      <c r="C738" s="45"/>
      <c r="D738" s="45"/>
      <c r="E738" s="45"/>
      <c r="F738" s="45"/>
      <c r="G738" s="45"/>
      <c r="H738" s="44"/>
      <c r="I738" s="45"/>
      <c r="J738" s="45"/>
      <c r="K738" s="46"/>
      <c r="L738" s="47"/>
    </row>
    <row r="739">
      <c r="A739" s="53"/>
      <c r="B739" s="45"/>
      <c r="C739" s="45"/>
      <c r="D739" s="45"/>
      <c r="E739" s="45"/>
      <c r="F739" s="45"/>
      <c r="G739" s="45"/>
      <c r="H739" s="44"/>
      <c r="I739" s="45"/>
      <c r="J739" s="45"/>
      <c r="K739" s="46"/>
      <c r="L739" s="47"/>
    </row>
    <row r="740">
      <c r="A740" s="53"/>
      <c r="B740" s="45"/>
      <c r="C740" s="45"/>
      <c r="D740" s="45"/>
      <c r="E740" s="45"/>
      <c r="F740" s="45"/>
      <c r="G740" s="45"/>
      <c r="H740" s="44"/>
      <c r="I740" s="45"/>
      <c r="J740" s="45"/>
      <c r="K740" s="46"/>
      <c r="L740" s="47"/>
    </row>
    <row r="741">
      <c r="A741" s="53"/>
      <c r="B741" s="45"/>
      <c r="C741" s="45"/>
      <c r="D741" s="45"/>
      <c r="E741" s="45"/>
      <c r="F741" s="45"/>
      <c r="G741" s="45"/>
      <c r="H741" s="44"/>
      <c r="I741" s="45"/>
      <c r="J741" s="45"/>
      <c r="K741" s="46"/>
      <c r="L741" s="47"/>
    </row>
    <row r="742">
      <c r="A742" s="53"/>
      <c r="B742" s="45"/>
      <c r="C742" s="45"/>
      <c r="D742" s="45"/>
      <c r="E742" s="45"/>
      <c r="F742" s="45"/>
      <c r="G742" s="45"/>
      <c r="H742" s="44"/>
      <c r="I742" s="45"/>
      <c r="J742" s="45"/>
      <c r="K742" s="46"/>
      <c r="L742" s="47"/>
    </row>
    <row r="743">
      <c r="A743" s="53"/>
      <c r="B743" s="45"/>
      <c r="C743" s="45"/>
      <c r="D743" s="45"/>
      <c r="E743" s="45"/>
      <c r="F743" s="45"/>
      <c r="G743" s="45"/>
      <c r="H743" s="44"/>
      <c r="I743" s="45"/>
      <c r="J743" s="45"/>
      <c r="K743" s="46"/>
      <c r="L743" s="47"/>
    </row>
    <row r="744">
      <c r="A744" s="53"/>
      <c r="B744" s="45"/>
      <c r="C744" s="45"/>
      <c r="D744" s="45"/>
      <c r="E744" s="45"/>
      <c r="F744" s="45"/>
      <c r="G744" s="45"/>
      <c r="H744" s="44"/>
      <c r="I744" s="45"/>
      <c r="J744" s="45"/>
      <c r="K744" s="46"/>
      <c r="L744" s="47"/>
    </row>
    <row r="745">
      <c r="A745" s="53"/>
      <c r="B745" s="45"/>
      <c r="C745" s="45"/>
      <c r="D745" s="45"/>
      <c r="E745" s="45"/>
      <c r="F745" s="45"/>
      <c r="G745" s="45"/>
      <c r="H745" s="44"/>
      <c r="I745" s="45"/>
      <c r="J745" s="45"/>
      <c r="K745" s="46"/>
      <c r="L745" s="47"/>
    </row>
    <row r="746">
      <c r="A746" s="53"/>
      <c r="B746" s="45"/>
      <c r="C746" s="45"/>
      <c r="D746" s="45"/>
      <c r="E746" s="45"/>
      <c r="F746" s="45"/>
      <c r="G746" s="45"/>
      <c r="H746" s="44"/>
      <c r="I746" s="45"/>
      <c r="J746" s="45"/>
      <c r="K746" s="46"/>
      <c r="L746" s="47"/>
    </row>
    <row r="747">
      <c r="A747" s="53"/>
      <c r="B747" s="45"/>
      <c r="C747" s="45"/>
      <c r="D747" s="45"/>
      <c r="E747" s="45"/>
      <c r="F747" s="45"/>
      <c r="G747" s="45"/>
      <c r="H747" s="44"/>
      <c r="I747" s="45"/>
      <c r="J747" s="45"/>
      <c r="K747" s="46"/>
      <c r="L747" s="47"/>
    </row>
    <row r="748">
      <c r="A748" s="53"/>
      <c r="B748" s="45"/>
      <c r="C748" s="45"/>
      <c r="D748" s="45"/>
      <c r="E748" s="45"/>
      <c r="F748" s="45"/>
      <c r="G748" s="45"/>
      <c r="H748" s="44"/>
      <c r="I748" s="45"/>
      <c r="J748" s="45"/>
      <c r="K748" s="46"/>
      <c r="L748" s="47"/>
    </row>
    <row r="749">
      <c r="A749" s="53"/>
      <c r="B749" s="45"/>
      <c r="C749" s="45"/>
      <c r="D749" s="45"/>
      <c r="E749" s="45"/>
      <c r="F749" s="45"/>
      <c r="G749" s="45"/>
      <c r="H749" s="44"/>
      <c r="I749" s="45"/>
      <c r="J749" s="45"/>
      <c r="K749" s="46"/>
      <c r="L749" s="47"/>
    </row>
    <row r="750">
      <c r="A750" s="53"/>
      <c r="B750" s="45"/>
      <c r="C750" s="45"/>
      <c r="D750" s="45"/>
      <c r="E750" s="45"/>
      <c r="F750" s="45"/>
      <c r="G750" s="45"/>
      <c r="H750" s="44"/>
      <c r="I750" s="45"/>
      <c r="J750" s="45"/>
      <c r="K750" s="46"/>
      <c r="L750" s="47"/>
    </row>
    <row r="751">
      <c r="A751" s="53"/>
      <c r="B751" s="45"/>
      <c r="C751" s="45"/>
      <c r="D751" s="45"/>
      <c r="E751" s="45"/>
      <c r="F751" s="45"/>
      <c r="G751" s="45"/>
      <c r="H751" s="44"/>
      <c r="I751" s="45"/>
      <c r="J751" s="45"/>
      <c r="K751" s="46"/>
      <c r="L751" s="47"/>
    </row>
    <row r="752">
      <c r="A752" s="53"/>
      <c r="B752" s="45"/>
      <c r="C752" s="45"/>
      <c r="D752" s="45"/>
      <c r="E752" s="45"/>
      <c r="F752" s="45"/>
      <c r="G752" s="45"/>
      <c r="H752" s="44"/>
      <c r="I752" s="45"/>
      <c r="J752" s="45"/>
      <c r="K752" s="46"/>
      <c r="L752" s="47"/>
    </row>
    <row r="753">
      <c r="A753" s="53"/>
      <c r="B753" s="45"/>
      <c r="C753" s="45"/>
      <c r="D753" s="45"/>
      <c r="E753" s="45"/>
      <c r="F753" s="45"/>
      <c r="G753" s="45"/>
      <c r="H753" s="44"/>
      <c r="I753" s="45"/>
      <c r="J753" s="45"/>
      <c r="K753" s="46"/>
      <c r="L753" s="47"/>
    </row>
    <row r="754">
      <c r="A754" s="53"/>
      <c r="B754" s="45"/>
      <c r="C754" s="45"/>
      <c r="D754" s="45"/>
      <c r="E754" s="45"/>
      <c r="F754" s="45"/>
      <c r="G754" s="45"/>
      <c r="H754" s="44"/>
      <c r="I754" s="45"/>
      <c r="J754" s="45"/>
      <c r="K754" s="46"/>
      <c r="L754" s="47"/>
    </row>
    <row r="755">
      <c r="A755" s="53"/>
      <c r="B755" s="45"/>
      <c r="C755" s="45"/>
      <c r="D755" s="45"/>
      <c r="E755" s="45"/>
      <c r="F755" s="45"/>
      <c r="G755" s="45"/>
      <c r="H755" s="44"/>
      <c r="I755" s="45"/>
      <c r="J755" s="45"/>
      <c r="K755" s="46"/>
      <c r="L755" s="47"/>
    </row>
    <row r="756">
      <c r="A756" s="53"/>
      <c r="B756" s="45"/>
      <c r="C756" s="45"/>
      <c r="D756" s="45"/>
      <c r="E756" s="45"/>
      <c r="F756" s="45"/>
      <c r="G756" s="45"/>
      <c r="H756" s="44"/>
      <c r="I756" s="45"/>
      <c r="J756" s="45"/>
      <c r="K756" s="46"/>
      <c r="L756" s="47"/>
    </row>
    <row r="757">
      <c r="A757" s="53"/>
      <c r="B757" s="45"/>
      <c r="C757" s="45"/>
      <c r="D757" s="45"/>
      <c r="E757" s="45"/>
      <c r="F757" s="45"/>
      <c r="G757" s="45"/>
      <c r="H757" s="44"/>
      <c r="I757" s="45"/>
      <c r="J757" s="45"/>
      <c r="K757" s="46"/>
      <c r="L757" s="47"/>
    </row>
    <row r="758">
      <c r="A758" s="53"/>
      <c r="B758" s="45"/>
      <c r="C758" s="45"/>
      <c r="D758" s="45"/>
      <c r="E758" s="45"/>
      <c r="F758" s="45"/>
      <c r="G758" s="45"/>
      <c r="H758" s="44"/>
      <c r="I758" s="45"/>
      <c r="J758" s="45"/>
      <c r="K758" s="46"/>
      <c r="L758" s="47"/>
    </row>
    <row r="759">
      <c r="A759" s="53"/>
      <c r="B759" s="45"/>
      <c r="C759" s="45"/>
      <c r="D759" s="45"/>
      <c r="E759" s="45"/>
      <c r="F759" s="45"/>
      <c r="G759" s="45"/>
      <c r="H759" s="44"/>
      <c r="I759" s="45"/>
      <c r="J759" s="45"/>
      <c r="K759" s="46"/>
      <c r="L759" s="47"/>
    </row>
    <row r="760">
      <c r="A760" s="53"/>
      <c r="B760" s="45"/>
      <c r="C760" s="45"/>
      <c r="D760" s="45"/>
      <c r="E760" s="45"/>
      <c r="F760" s="45"/>
      <c r="G760" s="45"/>
      <c r="H760" s="44"/>
      <c r="I760" s="45"/>
      <c r="J760" s="45"/>
      <c r="K760" s="46"/>
      <c r="L760" s="47"/>
    </row>
    <row r="761">
      <c r="A761" s="53"/>
      <c r="B761" s="45"/>
      <c r="C761" s="45"/>
      <c r="D761" s="45"/>
      <c r="E761" s="45"/>
      <c r="F761" s="45"/>
      <c r="G761" s="45"/>
      <c r="H761" s="44"/>
      <c r="I761" s="45"/>
      <c r="J761" s="45"/>
      <c r="K761" s="46"/>
      <c r="L761" s="47"/>
    </row>
    <row r="762">
      <c r="A762" s="53"/>
      <c r="B762" s="45"/>
      <c r="C762" s="45"/>
      <c r="D762" s="45"/>
      <c r="E762" s="45"/>
      <c r="F762" s="45"/>
      <c r="G762" s="45"/>
      <c r="H762" s="44"/>
      <c r="I762" s="45"/>
      <c r="J762" s="45"/>
      <c r="K762" s="46"/>
      <c r="L762" s="47"/>
    </row>
    <row r="763">
      <c r="A763" s="53"/>
      <c r="B763" s="45"/>
      <c r="C763" s="45"/>
      <c r="D763" s="45"/>
      <c r="E763" s="45"/>
      <c r="F763" s="45"/>
      <c r="G763" s="45"/>
      <c r="H763" s="44"/>
      <c r="I763" s="45"/>
      <c r="J763" s="45"/>
      <c r="K763" s="46"/>
      <c r="L763" s="47"/>
    </row>
    <row r="764">
      <c r="A764" s="53"/>
      <c r="B764" s="45"/>
      <c r="C764" s="45"/>
      <c r="D764" s="45"/>
      <c r="E764" s="45"/>
      <c r="F764" s="45"/>
      <c r="G764" s="45"/>
      <c r="H764" s="44"/>
      <c r="I764" s="45"/>
      <c r="J764" s="45"/>
      <c r="K764" s="46"/>
      <c r="L764" s="47"/>
    </row>
    <row r="765">
      <c r="A765" s="53"/>
      <c r="B765" s="45"/>
      <c r="C765" s="45"/>
      <c r="D765" s="45"/>
      <c r="E765" s="45"/>
      <c r="F765" s="45"/>
      <c r="G765" s="45"/>
      <c r="H765" s="44"/>
      <c r="I765" s="45"/>
      <c r="J765" s="45"/>
      <c r="K765" s="46"/>
      <c r="L765" s="47"/>
    </row>
    <row r="766">
      <c r="A766" s="53"/>
      <c r="B766" s="45"/>
      <c r="C766" s="45"/>
      <c r="D766" s="45"/>
      <c r="E766" s="45"/>
      <c r="F766" s="45"/>
      <c r="G766" s="45"/>
      <c r="H766" s="44"/>
      <c r="I766" s="45"/>
      <c r="J766" s="45"/>
      <c r="K766" s="46"/>
      <c r="L766" s="47"/>
    </row>
    <row r="767">
      <c r="A767" s="53"/>
      <c r="B767" s="45"/>
      <c r="C767" s="45"/>
      <c r="D767" s="45"/>
      <c r="E767" s="45"/>
      <c r="F767" s="45"/>
      <c r="G767" s="45"/>
      <c r="H767" s="44"/>
      <c r="I767" s="45"/>
      <c r="J767" s="45"/>
      <c r="K767" s="46"/>
      <c r="L767" s="47"/>
    </row>
    <row r="768">
      <c r="A768" s="53"/>
      <c r="B768" s="45"/>
      <c r="C768" s="45"/>
      <c r="D768" s="45"/>
      <c r="E768" s="45"/>
      <c r="F768" s="45"/>
      <c r="G768" s="45"/>
      <c r="H768" s="44"/>
      <c r="I768" s="45"/>
      <c r="J768" s="45"/>
      <c r="K768" s="46"/>
      <c r="L768" s="47"/>
    </row>
    <row r="769">
      <c r="A769" s="53"/>
      <c r="B769" s="45"/>
      <c r="C769" s="45"/>
      <c r="D769" s="45"/>
      <c r="E769" s="45"/>
      <c r="F769" s="45"/>
      <c r="G769" s="45"/>
      <c r="H769" s="44"/>
      <c r="I769" s="45"/>
      <c r="J769" s="45"/>
      <c r="K769" s="46"/>
      <c r="L769" s="47"/>
    </row>
    <row r="770">
      <c r="A770" s="53"/>
      <c r="B770" s="45"/>
      <c r="C770" s="45"/>
      <c r="D770" s="45"/>
      <c r="E770" s="45"/>
      <c r="F770" s="45"/>
      <c r="G770" s="45"/>
      <c r="H770" s="44"/>
      <c r="I770" s="45"/>
      <c r="J770" s="45"/>
      <c r="K770" s="46"/>
      <c r="L770" s="47"/>
    </row>
    <row r="771">
      <c r="A771" s="53"/>
      <c r="B771" s="45"/>
      <c r="C771" s="45"/>
      <c r="D771" s="45"/>
      <c r="E771" s="45"/>
      <c r="F771" s="45"/>
      <c r="G771" s="45"/>
      <c r="H771" s="44"/>
      <c r="I771" s="45"/>
      <c r="J771" s="45"/>
      <c r="K771" s="46"/>
      <c r="L771" s="47"/>
    </row>
    <row r="772">
      <c r="A772" s="53"/>
      <c r="B772" s="45"/>
      <c r="C772" s="45"/>
      <c r="D772" s="45"/>
      <c r="E772" s="45"/>
      <c r="F772" s="45"/>
      <c r="G772" s="45"/>
      <c r="H772" s="44"/>
      <c r="I772" s="45"/>
      <c r="J772" s="45"/>
      <c r="K772" s="46"/>
      <c r="L772" s="47"/>
    </row>
    <row r="773">
      <c r="A773" s="53"/>
      <c r="B773" s="45"/>
      <c r="C773" s="45"/>
      <c r="D773" s="45"/>
      <c r="E773" s="45"/>
      <c r="F773" s="45"/>
      <c r="G773" s="45"/>
      <c r="H773" s="44"/>
      <c r="I773" s="45"/>
      <c r="J773" s="45"/>
      <c r="K773" s="46"/>
      <c r="L773" s="47"/>
    </row>
    <row r="774">
      <c r="A774" s="53"/>
      <c r="B774" s="45"/>
      <c r="C774" s="45"/>
      <c r="D774" s="45"/>
      <c r="E774" s="45"/>
      <c r="F774" s="45"/>
      <c r="G774" s="45"/>
      <c r="H774" s="44"/>
      <c r="I774" s="45"/>
      <c r="J774" s="45"/>
      <c r="K774" s="46"/>
      <c r="L774" s="47"/>
    </row>
    <row r="775">
      <c r="A775" s="53"/>
      <c r="B775" s="45"/>
      <c r="C775" s="45"/>
      <c r="D775" s="45"/>
      <c r="E775" s="45"/>
      <c r="F775" s="45"/>
      <c r="G775" s="45"/>
      <c r="H775" s="44"/>
      <c r="I775" s="45"/>
      <c r="J775" s="45"/>
      <c r="K775" s="46"/>
      <c r="L775" s="47"/>
    </row>
    <row r="776">
      <c r="A776" s="53"/>
      <c r="B776" s="45"/>
      <c r="C776" s="45"/>
      <c r="D776" s="45"/>
      <c r="E776" s="45"/>
      <c r="F776" s="45"/>
      <c r="G776" s="45"/>
      <c r="H776" s="44"/>
      <c r="I776" s="45"/>
      <c r="J776" s="45"/>
      <c r="K776" s="46"/>
      <c r="L776" s="47"/>
    </row>
    <row r="777">
      <c r="A777" s="53"/>
      <c r="B777" s="45"/>
      <c r="C777" s="45"/>
      <c r="D777" s="45"/>
      <c r="E777" s="45"/>
      <c r="F777" s="45"/>
      <c r="G777" s="45"/>
      <c r="H777" s="44"/>
      <c r="I777" s="45"/>
      <c r="J777" s="45"/>
      <c r="K777" s="46"/>
      <c r="L777" s="47"/>
    </row>
    <row r="778">
      <c r="A778" s="53"/>
      <c r="B778" s="45"/>
      <c r="C778" s="45"/>
      <c r="D778" s="45"/>
      <c r="E778" s="45"/>
      <c r="F778" s="45"/>
      <c r="G778" s="45"/>
      <c r="H778" s="44"/>
      <c r="I778" s="45"/>
      <c r="J778" s="45"/>
      <c r="K778" s="46"/>
      <c r="L778" s="47"/>
    </row>
    <row r="779">
      <c r="A779" s="53"/>
      <c r="B779" s="45"/>
      <c r="C779" s="45"/>
      <c r="D779" s="45"/>
      <c r="E779" s="45"/>
      <c r="F779" s="45"/>
      <c r="G779" s="45"/>
      <c r="H779" s="44"/>
      <c r="I779" s="45"/>
      <c r="J779" s="45"/>
      <c r="K779" s="46"/>
      <c r="L779" s="47"/>
    </row>
    <row r="780">
      <c r="A780" s="53"/>
      <c r="B780" s="45"/>
      <c r="C780" s="45"/>
      <c r="D780" s="45"/>
      <c r="E780" s="45"/>
      <c r="F780" s="45"/>
      <c r="G780" s="45"/>
      <c r="H780" s="44"/>
      <c r="I780" s="45"/>
      <c r="J780" s="45"/>
      <c r="K780" s="46"/>
      <c r="L780" s="47"/>
    </row>
    <row r="781">
      <c r="A781" s="53"/>
      <c r="B781" s="45"/>
      <c r="C781" s="45"/>
      <c r="D781" s="45"/>
      <c r="E781" s="45"/>
      <c r="F781" s="45"/>
      <c r="G781" s="45"/>
      <c r="H781" s="44"/>
      <c r="I781" s="45"/>
      <c r="J781" s="45"/>
      <c r="K781" s="46"/>
      <c r="L781" s="47"/>
    </row>
    <row r="782">
      <c r="A782" s="53"/>
      <c r="B782" s="45"/>
      <c r="C782" s="45"/>
      <c r="D782" s="45"/>
      <c r="E782" s="45"/>
      <c r="F782" s="45"/>
      <c r="G782" s="45"/>
      <c r="H782" s="44"/>
      <c r="I782" s="45"/>
      <c r="J782" s="45"/>
      <c r="K782" s="46"/>
      <c r="L782" s="47"/>
    </row>
    <row r="783">
      <c r="A783" s="53"/>
      <c r="B783" s="45"/>
      <c r="C783" s="45"/>
      <c r="D783" s="45"/>
      <c r="E783" s="45"/>
      <c r="F783" s="45"/>
      <c r="G783" s="45"/>
      <c r="H783" s="44"/>
      <c r="I783" s="45"/>
      <c r="J783" s="45"/>
      <c r="K783" s="46"/>
      <c r="L783" s="47"/>
    </row>
    <row r="784">
      <c r="A784" s="53"/>
      <c r="B784" s="45"/>
      <c r="C784" s="45"/>
      <c r="D784" s="45"/>
      <c r="E784" s="45"/>
      <c r="F784" s="45"/>
      <c r="G784" s="45"/>
      <c r="H784" s="44"/>
      <c r="I784" s="45"/>
      <c r="J784" s="45"/>
      <c r="K784" s="46"/>
      <c r="L784" s="47"/>
    </row>
    <row r="785">
      <c r="A785" s="53"/>
      <c r="B785" s="45"/>
      <c r="C785" s="45"/>
      <c r="D785" s="45"/>
      <c r="E785" s="45"/>
      <c r="F785" s="45"/>
      <c r="G785" s="45"/>
      <c r="H785" s="44"/>
      <c r="I785" s="45"/>
      <c r="J785" s="45"/>
      <c r="K785" s="46"/>
      <c r="L785" s="47"/>
    </row>
    <row r="786">
      <c r="A786" s="53"/>
      <c r="B786" s="45"/>
      <c r="C786" s="45"/>
      <c r="D786" s="45"/>
      <c r="E786" s="45"/>
      <c r="F786" s="45"/>
      <c r="G786" s="45"/>
      <c r="H786" s="44"/>
      <c r="I786" s="45"/>
      <c r="J786" s="45"/>
      <c r="K786" s="46"/>
      <c r="L786" s="47"/>
    </row>
    <row r="787">
      <c r="A787" s="53"/>
      <c r="B787" s="45"/>
      <c r="C787" s="45"/>
      <c r="D787" s="45"/>
      <c r="E787" s="45"/>
      <c r="F787" s="45"/>
      <c r="G787" s="45"/>
      <c r="H787" s="44"/>
      <c r="I787" s="45"/>
      <c r="J787" s="45"/>
      <c r="K787" s="46"/>
      <c r="L787" s="47"/>
    </row>
    <row r="788">
      <c r="A788" s="53"/>
      <c r="B788" s="45"/>
      <c r="C788" s="45"/>
      <c r="D788" s="45"/>
      <c r="E788" s="45"/>
      <c r="F788" s="45"/>
      <c r="G788" s="45"/>
      <c r="H788" s="44"/>
      <c r="I788" s="45"/>
      <c r="J788" s="45"/>
      <c r="K788" s="46"/>
      <c r="L788" s="47"/>
    </row>
    <row r="789">
      <c r="A789" s="53"/>
      <c r="B789" s="45"/>
      <c r="C789" s="45"/>
      <c r="D789" s="45"/>
      <c r="E789" s="45"/>
      <c r="F789" s="45"/>
      <c r="G789" s="45"/>
      <c r="H789" s="44"/>
      <c r="I789" s="45"/>
      <c r="J789" s="45"/>
      <c r="K789" s="46"/>
      <c r="L789" s="47"/>
    </row>
    <row r="790">
      <c r="A790" s="53"/>
      <c r="B790" s="45"/>
      <c r="C790" s="45"/>
      <c r="D790" s="45"/>
      <c r="E790" s="45"/>
      <c r="F790" s="45"/>
      <c r="G790" s="45"/>
      <c r="H790" s="44"/>
      <c r="I790" s="45"/>
      <c r="J790" s="45"/>
      <c r="K790" s="46"/>
      <c r="L790" s="47"/>
    </row>
    <row r="791">
      <c r="A791" s="53"/>
      <c r="B791" s="45"/>
      <c r="C791" s="45"/>
      <c r="D791" s="45"/>
      <c r="E791" s="45"/>
      <c r="F791" s="45"/>
      <c r="G791" s="45"/>
      <c r="H791" s="44"/>
      <c r="I791" s="45"/>
      <c r="J791" s="45"/>
      <c r="K791" s="46"/>
      <c r="L791" s="47"/>
    </row>
    <row r="792">
      <c r="A792" s="53"/>
      <c r="B792" s="45"/>
      <c r="C792" s="45"/>
      <c r="D792" s="45"/>
      <c r="E792" s="45"/>
      <c r="F792" s="45"/>
      <c r="G792" s="45"/>
      <c r="H792" s="44"/>
      <c r="I792" s="45"/>
      <c r="J792" s="45"/>
      <c r="K792" s="46"/>
      <c r="L792" s="47"/>
    </row>
    <row r="793">
      <c r="A793" s="53"/>
      <c r="B793" s="45"/>
      <c r="C793" s="45"/>
      <c r="D793" s="45"/>
      <c r="E793" s="45"/>
      <c r="F793" s="45"/>
      <c r="G793" s="45"/>
      <c r="H793" s="44"/>
      <c r="I793" s="45"/>
      <c r="J793" s="45"/>
      <c r="K793" s="46"/>
      <c r="L793" s="47"/>
    </row>
    <row r="794">
      <c r="A794" s="53"/>
      <c r="B794" s="45"/>
      <c r="C794" s="45"/>
      <c r="D794" s="45"/>
      <c r="E794" s="45"/>
      <c r="F794" s="45"/>
      <c r="G794" s="45"/>
      <c r="H794" s="44"/>
      <c r="I794" s="45"/>
      <c r="J794" s="45"/>
      <c r="K794" s="46"/>
      <c r="L794" s="47"/>
    </row>
    <row r="795">
      <c r="A795" s="53"/>
      <c r="B795" s="45"/>
      <c r="C795" s="45"/>
      <c r="D795" s="45"/>
      <c r="E795" s="45"/>
      <c r="F795" s="45"/>
      <c r="G795" s="45"/>
      <c r="H795" s="44"/>
      <c r="I795" s="45"/>
      <c r="J795" s="45"/>
      <c r="K795" s="46"/>
      <c r="L795" s="47"/>
    </row>
    <row r="796">
      <c r="A796" s="53"/>
      <c r="B796" s="45"/>
      <c r="C796" s="45"/>
      <c r="D796" s="45"/>
      <c r="E796" s="45"/>
      <c r="F796" s="45"/>
      <c r="G796" s="45"/>
      <c r="H796" s="44"/>
      <c r="I796" s="45"/>
      <c r="J796" s="45"/>
      <c r="K796" s="46"/>
      <c r="L796" s="47"/>
    </row>
    <row r="797">
      <c r="A797" s="53"/>
      <c r="B797" s="45"/>
      <c r="C797" s="45"/>
      <c r="D797" s="45"/>
      <c r="E797" s="45"/>
      <c r="F797" s="45"/>
      <c r="G797" s="45"/>
      <c r="H797" s="44"/>
      <c r="I797" s="45"/>
      <c r="J797" s="45"/>
      <c r="K797" s="46"/>
      <c r="L797" s="47"/>
    </row>
    <row r="798">
      <c r="A798" s="53"/>
      <c r="B798" s="45"/>
      <c r="C798" s="45"/>
      <c r="D798" s="45"/>
      <c r="E798" s="45"/>
      <c r="F798" s="45"/>
      <c r="G798" s="45"/>
      <c r="H798" s="44"/>
      <c r="I798" s="45"/>
      <c r="J798" s="45"/>
      <c r="K798" s="46"/>
      <c r="L798" s="47"/>
    </row>
    <row r="799">
      <c r="A799" s="53"/>
      <c r="B799" s="45"/>
      <c r="C799" s="45"/>
      <c r="D799" s="45"/>
      <c r="E799" s="45"/>
      <c r="F799" s="45"/>
      <c r="G799" s="45"/>
      <c r="H799" s="44"/>
      <c r="I799" s="45"/>
      <c r="J799" s="45"/>
      <c r="K799" s="46"/>
      <c r="L799" s="47"/>
    </row>
    <row r="800">
      <c r="A800" s="53"/>
      <c r="B800" s="45"/>
      <c r="C800" s="45"/>
      <c r="D800" s="45"/>
      <c r="E800" s="45"/>
      <c r="F800" s="45"/>
      <c r="G800" s="45"/>
      <c r="H800" s="44"/>
      <c r="I800" s="45"/>
      <c r="J800" s="45"/>
      <c r="K800" s="46"/>
      <c r="L800" s="47"/>
    </row>
    <row r="801">
      <c r="A801" s="53"/>
      <c r="B801" s="45"/>
      <c r="C801" s="45"/>
      <c r="D801" s="45"/>
      <c r="E801" s="45"/>
      <c r="F801" s="45"/>
      <c r="G801" s="45"/>
      <c r="H801" s="44"/>
      <c r="I801" s="45"/>
      <c r="J801" s="45"/>
      <c r="K801" s="46"/>
      <c r="L801" s="47"/>
    </row>
    <row r="802">
      <c r="A802" s="53"/>
      <c r="B802" s="45"/>
      <c r="C802" s="45"/>
      <c r="D802" s="45"/>
      <c r="E802" s="45"/>
      <c r="F802" s="45"/>
      <c r="G802" s="45"/>
      <c r="H802" s="44"/>
      <c r="I802" s="45"/>
      <c r="J802" s="45"/>
      <c r="K802" s="46"/>
      <c r="L802" s="47"/>
    </row>
    <row r="803">
      <c r="A803" s="53"/>
      <c r="B803" s="45"/>
      <c r="C803" s="45"/>
      <c r="D803" s="45"/>
      <c r="E803" s="45"/>
      <c r="F803" s="45"/>
      <c r="G803" s="45"/>
      <c r="H803" s="44"/>
      <c r="I803" s="45"/>
      <c r="J803" s="45"/>
      <c r="K803" s="46"/>
      <c r="L803" s="47"/>
    </row>
    <row r="804">
      <c r="A804" s="53"/>
      <c r="B804" s="45"/>
      <c r="C804" s="45"/>
      <c r="D804" s="45"/>
      <c r="E804" s="45"/>
      <c r="F804" s="45"/>
      <c r="G804" s="45"/>
      <c r="H804" s="44"/>
      <c r="I804" s="45"/>
      <c r="J804" s="45"/>
      <c r="K804" s="46"/>
      <c r="L804" s="47"/>
    </row>
    <row r="805">
      <c r="A805" s="53"/>
      <c r="B805" s="45"/>
      <c r="C805" s="45"/>
      <c r="D805" s="45"/>
      <c r="E805" s="45"/>
      <c r="F805" s="45"/>
      <c r="G805" s="45"/>
      <c r="H805" s="44"/>
      <c r="I805" s="45"/>
      <c r="J805" s="45"/>
      <c r="K805" s="46"/>
      <c r="L805" s="47"/>
    </row>
    <row r="806">
      <c r="A806" s="53"/>
      <c r="B806" s="45"/>
      <c r="C806" s="45"/>
      <c r="D806" s="45"/>
      <c r="E806" s="45"/>
      <c r="F806" s="45"/>
      <c r="G806" s="45"/>
      <c r="H806" s="44"/>
      <c r="I806" s="45"/>
      <c r="J806" s="45"/>
      <c r="K806" s="46"/>
      <c r="L806" s="47"/>
    </row>
    <row r="807">
      <c r="A807" s="53"/>
      <c r="B807" s="45"/>
      <c r="C807" s="45"/>
      <c r="D807" s="45"/>
      <c r="E807" s="45"/>
      <c r="F807" s="45"/>
      <c r="G807" s="45"/>
      <c r="H807" s="44"/>
      <c r="I807" s="45"/>
      <c r="J807" s="45"/>
      <c r="K807" s="46"/>
      <c r="L807" s="47"/>
    </row>
    <row r="808">
      <c r="A808" s="53"/>
      <c r="B808" s="45"/>
      <c r="C808" s="45"/>
      <c r="D808" s="45"/>
      <c r="E808" s="45"/>
      <c r="F808" s="45"/>
      <c r="G808" s="45"/>
      <c r="H808" s="44"/>
      <c r="I808" s="45"/>
      <c r="J808" s="45"/>
      <c r="K808" s="46"/>
      <c r="L808" s="47"/>
    </row>
    <row r="809">
      <c r="A809" s="53"/>
      <c r="B809" s="45"/>
      <c r="C809" s="45"/>
      <c r="D809" s="45"/>
      <c r="E809" s="45"/>
      <c r="F809" s="45"/>
      <c r="G809" s="45"/>
      <c r="H809" s="44"/>
      <c r="I809" s="45"/>
      <c r="J809" s="45"/>
      <c r="K809" s="46"/>
      <c r="L809" s="47"/>
    </row>
    <row r="810">
      <c r="A810" s="53"/>
      <c r="B810" s="45"/>
      <c r="C810" s="45"/>
      <c r="D810" s="45"/>
      <c r="E810" s="45"/>
      <c r="F810" s="45"/>
      <c r="G810" s="45"/>
      <c r="H810" s="44"/>
      <c r="I810" s="45"/>
      <c r="J810" s="45"/>
      <c r="K810" s="46"/>
      <c r="L810" s="47"/>
    </row>
    <row r="811">
      <c r="A811" s="53"/>
      <c r="B811" s="45"/>
      <c r="C811" s="45"/>
      <c r="D811" s="45"/>
      <c r="E811" s="45"/>
      <c r="F811" s="45"/>
      <c r="G811" s="45"/>
      <c r="H811" s="44"/>
      <c r="I811" s="45"/>
      <c r="J811" s="45"/>
      <c r="K811" s="46"/>
      <c r="L811" s="47"/>
    </row>
    <row r="812">
      <c r="A812" s="53"/>
      <c r="B812" s="45"/>
      <c r="C812" s="45"/>
      <c r="D812" s="45"/>
      <c r="E812" s="45"/>
      <c r="F812" s="45"/>
      <c r="G812" s="45"/>
      <c r="H812" s="44"/>
      <c r="I812" s="45"/>
      <c r="J812" s="45"/>
      <c r="K812" s="46"/>
      <c r="L812" s="47"/>
    </row>
    <row r="813">
      <c r="A813" s="53"/>
      <c r="B813" s="45"/>
      <c r="C813" s="45"/>
      <c r="D813" s="45"/>
      <c r="E813" s="45"/>
      <c r="F813" s="45"/>
      <c r="G813" s="45"/>
      <c r="H813" s="44"/>
      <c r="I813" s="45"/>
      <c r="J813" s="45"/>
      <c r="K813" s="46"/>
      <c r="L813" s="47"/>
    </row>
    <row r="814">
      <c r="A814" s="53"/>
      <c r="B814" s="45"/>
      <c r="C814" s="45"/>
      <c r="D814" s="45"/>
      <c r="E814" s="45"/>
      <c r="F814" s="45"/>
      <c r="G814" s="45"/>
      <c r="H814" s="44"/>
      <c r="I814" s="45"/>
      <c r="J814" s="45"/>
      <c r="K814" s="46"/>
      <c r="L814" s="47"/>
    </row>
    <row r="815">
      <c r="A815" s="53"/>
      <c r="B815" s="45"/>
      <c r="C815" s="45"/>
      <c r="D815" s="45"/>
      <c r="E815" s="45"/>
      <c r="F815" s="45"/>
      <c r="G815" s="45"/>
      <c r="H815" s="44"/>
      <c r="I815" s="45"/>
      <c r="J815" s="45"/>
      <c r="K815" s="46"/>
      <c r="L815" s="47"/>
    </row>
    <row r="816">
      <c r="A816" s="53"/>
      <c r="B816" s="45"/>
      <c r="C816" s="45"/>
      <c r="D816" s="45"/>
      <c r="E816" s="45"/>
      <c r="F816" s="45"/>
      <c r="G816" s="45"/>
      <c r="H816" s="44"/>
      <c r="I816" s="45"/>
      <c r="J816" s="45"/>
      <c r="K816" s="46"/>
      <c r="L816" s="47"/>
    </row>
    <row r="817">
      <c r="A817" s="53"/>
      <c r="B817" s="45"/>
      <c r="C817" s="45"/>
      <c r="D817" s="45"/>
      <c r="E817" s="45"/>
      <c r="F817" s="45"/>
      <c r="G817" s="45"/>
      <c r="H817" s="44"/>
      <c r="I817" s="45"/>
      <c r="J817" s="45"/>
      <c r="K817" s="46"/>
      <c r="L817" s="47"/>
    </row>
    <row r="818">
      <c r="A818" s="53"/>
      <c r="B818" s="45"/>
      <c r="C818" s="45"/>
      <c r="D818" s="45"/>
      <c r="E818" s="45"/>
      <c r="F818" s="45"/>
      <c r="G818" s="45"/>
      <c r="H818" s="44"/>
      <c r="I818" s="45"/>
      <c r="J818" s="45"/>
      <c r="K818" s="46"/>
      <c r="L818" s="47"/>
    </row>
    <row r="819">
      <c r="A819" s="53"/>
      <c r="B819" s="45"/>
      <c r="C819" s="45"/>
      <c r="D819" s="45"/>
      <c r="E819" s="45"/>
      <c r="F819" s="45"/>
      <c r="G819" s="45"/>
      <c r="H819" s="44"/>
      <c r="I819" s="45"/>
      <c r="J819" s="45"/>
      <c r="K819" s="46"/>
      <c r="L819" s="47"/>
    </row>
    <row r="820">
      <c r="A820" s="53"/>
      <c r="B820" s="45"/>
      <c r="C820" s="45"/>
      <c r="D820" s="45"/>
      <c r="E820" s="45"/>
      <c r="F820" s="45"/>
      <c r="G820" s="45"/>
      <c r="H820" s="44"/>
      <c r="I820" s="45"/>
      <c r="J820" s="45"/>
      <c r="K820" s="46"/>
      <c r="L820" s="47"/>
    </row>
    <row r="821">
      <c r="A821" s="53"/>
      <c r="B821" s="45"/>
      <c r="C821" s="45"/>
      <c r="D821" s="45"/>
      <c r="E821" s="45"/>
      <c r="F821" s="45"/>
      <c r="G821" s="45"/>
      <c r="H821" s="44"/>
      <c r="I821" s="45"/>
      <c r="J821" s="45"/>
      <c r="K821" s="46"/>
      <c r="L821" s="47"/>
    </row>
    <row r="822">
      <c r="A822" s="53"/>
      <c r="B822" s="45"/>
      <c r="C822" s="45"/>
      <c r="D822" s="45"/>
      <c r="E822" s="45"/>
      <c r="F822" s="45"/>
      <c r="G822" s="45"/>
      <c r="H822" s="44"/>
      <c r="I822" s="45"/>
      <c r="J822" s="45"/>
      <c r="K822" s="46"/>
      <c r="L822" s="47"/>
    </row>
    <row r="823">
      <c r="A823" s="53"/>
      <c r="B823" s="45"/>
      <c r="C823" s="45"/>
      <c r="D823" s="45"/>
      <c r="E823" s="45"/>
      <c r="F823" s="45"/>
      <c r="G823" s="45"/>
      <c r="H823" s="44"/>
      <c r="I823" s="45"/>
      <c r="J823" s="45"/>
      <c r="K823" s="46"/>
      <c r="L823" s="47"/>
    </row>
    <row r="824">
      <c r="A824" s="53"/>
      <c r="B824" s="45"/>
      <c r="C824" s="45"/>
      <c r="D824" s="45"/>
      <c r="E824" s="45"/>
      <c r="F824" s="45"/>
      <c r="G824" s="45"/>
      <c r="H824" s="44"/>
      <c r="I824" s="45"/>
      <c r="J824" s="45"/>
      <c r="K824" s="46"/>
      <c r="L824" s="47"/>
    </row>
    <row r="825">
      <c r="A825" s="53"/>
      <c r="B825" s="45"/>
      <c r="C825" s="45"/>
      <c r="D825" s="45"/>
      <c r="E825" s="45"/>
      <c r="F825" s="45"/>
      <c r="G825" s="45"/>
      <c r="H825" s="44"/>
      <c r="I825" s="45"/>
      <c r="J825" s="45"/>
      <c r="K825" s="46"/>
      <c r="L825" s="47"/>
    </row>
    <row r="826">
      <c r="A826" s="53"/>
      <c r="B826" s="45"/>
      <c r="C826" s="45"/>
      <c r="D826" s="45"/>
      <c r="E826" s="45"/>
      <c r="F826" s="45"/>
      <c r="G826" s="45"/>
      <c r="H826" s="44"/>
      <c r="I826" s="45"/>
      <c r="J826" s="45"/>
      <c r="K826" s="46"/>
      <c r="L826" s="47"/>
    </row>
    <row r="827">
      <c r="A827" s="53"/>
      <c r="B827" s="45"/>
      <c r="C827" s="45"/>
      <c r="D827" s="45"/>
      <c r="E827" s="45"/>
      <c r="F827" s="45"/>
      <c r="G827" s="45"/>
      <c r="H827" s="44"/>
      <c r="I827" s="45"/>
      <c r="J827" s="45"/>
      <c r="K827" s="46"/>
      <c r="L827" s="47"/>
    </row>
    <row r="828">
      <c r="A828" s="53"/>
      <c r="B828" s="45"/>
      <c r="C828" s="45"/>
      <c r="D828" s="45"/>
      <c r="E828" s="45"/>
      <c r="F828" s="45"/>
      <c r="G828" s="45"/>
      <c r="H828" s="44"/>
      <c r="I828" s="45"/>
      <c r="J828" s="45"/>
      <c r="K828" s="46"/>
      <c r="L828" s="47"/>
    </row>
    <row r="829">
      <c r="A829" s="53"/>
      <c r="B829" s="45"/>
      <c r="C829" s="45"/>
      <c r="D829" s="45"/>
      <c r="E829" s="45"/>
      <c r="F829" s="45"/>
      <c r="G829" s="45"/>
      <c r="H829" s="44"/>
      <c r="I829" s="45"/>
      <c r="J829" s="45"/>
      <c r="K829" s="46"/>
      <c r="L829" s="47"/>
    </row>
    <row r="830">
      <c r="A830" s="53"/>
      <c r="B830" s="45"/>
      <c r="C830" s="45"/>
      <c r="D830" s="45"/>
      <c r="E830" s="45"/>
      <c r="F830" s="45"/>
      <c r="G830" s="45"/>
      <c r="H830" s="44"/>
      <c r="I830" s="45"/>
      <c r="J830" s="45"/>
      <c r="K830" s="46"/>
      <c r="L830" s="47"/>
    </row>
    <row r="831">
      <c r="A831" s="53"/>
      <c r="B831" s="45"/>
      <c r="C831" s="45"/>
      <c r="D831" s="45"/>
      <c r="E831" s="45"/>
      <c r="F831" s="45"/>
      <c r="G831" s="45"/>
      <c r="H831" s="44"/>
      <c r="I831" s="45"/>
      <c r="J831" s="45"/>
      <c r="K831" s="46"/>
      <c r="L831" s="47"/>
    </row>
    <row r="832">
      <c r="A832" s="53"/>
      <c r="B832" s="45"/>
      <c r="C832" s="45"/>
      <c r="D832" s="45"/>
      <c r="E832" s="45"/>
      <c r="F832" s="45"/>
      <c r="G832" s="45"/>
      <c r="H832" s="44"/>
      <c r="I832" s="45"/>
      <c r="J832" s="45"/>
      <c r="K832" s="46"/>
      <c r="L832" s="47"/>
    </row>
    <row r="833">
      <c r="A833" s="53"/>
      <c r="B833" s="45"/>
      <c r="C833" s="45"/>
      <c r="D833" s="45"/>
      <c r="E833" s="45"/>
      <c r="F833" s="45"/>
      <c r="G833" s="45"/>
      <c r="H833" s="44"/>
      <c r="I833" s="45"/>
      <c r="J833" s="45"/>
      <c r="K833" s="46"/>
      <c r="L833" s="47"/>
    </row>
    <row r="834">
      <c r="A834" s="53"/>
      <c r="B834" s="45"/>
      <c r="C834" s="45"/>
      <c r="D834" s="45"/>
      <c r="E834" s="45"/>
      <c r="F834" s="45"/>
      <c r="G834" s="45"/>
      <c r="H834" s="44"/>
      <c r="I834" s="45"/>
      <c r="J834" s="45"/>
      <c r="K834" s="46"/>
      <c r="L834" s="47"/>
    </row>
    <row r="835">
      <c r="A835" s="53"/>
      <c r="B835" s="45"/>
      <c r="C835" s="45"/>
      <c r="D835" s="45"/>
      <c r="E835" s="45"/>
      <c r="F835" s="45"/>
      <c r="G835" s="45"/>
      <c r="H835" s="44"/>
      <c r="I835" s="45"/>
      <c r="J835" s="45"/>
      <c r="K835" s="46"/>
      <c r="L835" s="47"/>
    </row>
    <row r="836">
      <c r="A836" s="53"/>
      <c r="B836" s="45"/>
      <c r="C836" s="45"/>
      <c r="D836" s="45"/>
      <c r="E836" s="45"/>
      <c r="F836" s="45"/>
      <c r="G836" s="45"/>
      <c r="H836" s="44"/>
      <c r="I836" s="45"/>
      <c r="J836" s="45"/>
      <c r="K836" s="46"/>
      <c r="L836" s="47"/>
    </row>
    <row r="837">
      <c r="A837" s="53"/>
      <c r="B837" s="45"/>
      <c r="C837" s="45"/>
      <c r="D837" s="45"/>
      <c r="E837" s="45"/>
      <c r="F837" s="45"/>
      <c r="G837" s="45"/>
      <c r="H837" s="44"/>
      <c r="I837" s="45"/>
      <c r="J837" s="45"/>
      <c r="K837" s="46"/>
      <c r="L837" s="47"/>
    </row>
    <row r="838">
      <c r="A838" s="53"/>
      <c r="B838" s="45"/>
      <c r="C838" s="45"/>
      <c r="D838" s="45"/>
      <c r="E838" s="45"/>
      <c r="F838" s="45"/>
      <c r="G838" s="45"/>
      <c r="H838" s="44"/>
      <c r="I838" s="45"/>
      <c r="J838" s="45"/>
      <c r="K838" s="46"/>
      <c r="L838" s="47"/>
    </row>
    <row r="839">
      <c r="A839" s="53"/>
      <c r="B839" s="45"/>
      <c r="C839" s="45"/>
      <c r="D839" s="45"/>
      <c r="E839" s="45"/>
      <c r="F839" s="45"/>
      <c r="G839" s="45"/>
      <c r="H839" s="44"/>
      <c r="I839" s="45"/>
      <c r="J839" s="45"/>
      <c r="K839" s="46"/>
      <c r="L839" s="47"/>
    </row>
    <row r="840">
      <c r="A840" s="53"/>
      <c r="B840" s="45"/>
      <c r="C840" s="45"/>
      <c r="D840" s="45"/>
      <c r="E840" s="45"/>
      <c r="F840" s="45"/>
      <c r="G840" s="45"/>
      <c r="H840" s="44"/>
      <c r="I840" s="45"/>
      <c r="J840" s="45"/>
      <c r="K840" s="46"/>
      <c r="L840" s="47"/>
    </row>
    <row r="841">
      <c r="A841" s="53"/>
      <c r="B841" s="45"/>
      <c r="C841" s="45"/>
      <c r="D841" s="45"/>
      <c r="E841" s="45"/>
      <c r="F841" s="45"/>
      <c r="G841" s="45"/>
      <c r="H841" s="44"/>
      <c r="I841" s="45"/>
      <c r="J841" s="45"/>
      <c r="K841" s="46"/>
      <c r="L841" s="47"/>
    </row>
    <row r="842">
      <c r="A842" s="53"/>
      <c r="B842" s="45"/>
      <c r="C842" s="45"/>
      <c r="D842" s="45"/>
      <c r="E842" s="45"/>
      <c r="F842" s="45"/>
      <c r="G842" s="45"/>
      <c r="H842" s="44"/>
      <c r="I842" s="45"/>
      <c r="J842" s="45"/>
      <c r="K842" s="46"/>
      <c r="L842" s="47"/>
    </row>
    <row r="843">
      <c r="A843" s="53"/>
      <c r="B843" s="45"/>
      <c r="C843" s="45"/>
      <c r="D843" s="45"/>
      <c r="E843" s="45"/>
      <c r="F843" s="45"/>
      <c r="G843" s="45"/>
      <c r="H843" s="44"/>
      <c r="I843" s="45"/>
      <c r="J843" s="45"/>
      <c r="K843" s="46"/>
      <c r="L843" s="47"/>
    </row>
    <row r="844">
      <c r="A844" s="53"/>
      <c r="B844" s="45"/>
      <c r="C844" s="45"/>
      <c r="D844" s="45"/>
      <c r="E844" s="45"/>
      <c r="F844" s="45"/>
      <c r="G844" s="45"/>
      <c r="H844" s="44"/>
      <c r="I844" s="45"/>
      <c r="J844" s="45"/>
      <c r="K844" s="46"/>
      <c r="L844" s="47"/>
    </row>
    <row r="845">
      <c r="A845" s="53"/>
      <c r="B845" s="45"/>
      <c r="C845" s="45"/>
      <c r="D845" s="45"/>
      <c r="E845" s="45"/>
      <c r="F845" s="45"/>
      <c r="G845" s="45"/>
      <c r="H845" s="44"/>
      <c r="I845" s="45"/>
      <c r="J845" s="45"/>
      <c r="K845" s="46"/>
      <c r="L845" s="47"/>
    </row>
    <row r="846">
      <c r="A846" s="53"/>
      <c r="B846" s="45"/>
      <c r="C846" s="45"/>
      <c r="D846" s="45"/>
      <c r="E846" s="45"/>
      <c r="F846" s="45"/>
      <c r="G846" s="45"/>
      <c r="H846" s="44"/>
      <c r="I846" s="45"/>
      <c r="J846" s="45"/>
      <c r="K846" s="46"/>
      <c r="L846" s="47"/>
    </row>
    <row r="847">
      <c r="A847" s="53"/>
      <c r="B847" s="45"/>
      <c r="C847" s="45"/>
      <c r="D847" s="45"/>
      <c r="E847" s="45"/>
      <c r="F847" s="45"/>
      <c r="G847" s="45"/>
      <c r="H847" s="44"/>
      <c r="I847" s="45"/>
      <c r="J847" s="45"/>
      <c r="K847" s="46"/>
      <c r="L847" s="47"/>
    </row>
    <row r="848">
      <c r="A848" s="53"/>
      <c r="B848" s="45"/>
      <c r="C848" s="45"/>
      <c r="D848" s="45"/>
      <c r="E848" s="45"/>
      <c r="F848" s="45"/>
      <c r="G848" s="45"/>
      <c r="H848" s="44"/>
      <c r="I848" s="45"/>
      <c r="J848" s="45"/>
      <c r="K848" s="46"/>
      <c r="L848" s="47"/>
    </row>
    <row r="849">
      <c r="A849" s="53"/>
      <c r="B849" s="45"/>
      <c r="C849" s="45"/>
      <c r="D849" s="45"/>
      <c r="E849" s="45"/>
      <c r="F849" s="45"/>
      <c r="G849" s="45"/>
      <c r="H849" s="44"/>
      <c r="I849" s="45"/>
      <c r="J849" s="45"/>
      <c r="K849" s="46"/>
      <c r="L849" s="47"/>
    </row>
    <row r="850">
      <c r="A850" s="53"/>
      <c r="B850" s="45"/>
      <c r="C850" s="45"/>
      <c r="D850" s="45"/>
      <c r="E850" s="45"/>
      <c r="F850" s="45"/>
      <c r="G850" s="45"/>
      <c r="H850" s="44"/>
      <c r="I850" s="45"/>
      <c r="J850" s="45"/>
      <c r="K850" s="46"/>
      <c r="L850" s="47"/>
    </row>
    <row r="851">
      <c r="A851" s="53"/>
      <c r="B851" s="45"/>
      <c r="C851" s="45"/>
      <c r="D851" s="45"/>
      <c r="E851" s="45"/>
      <c r="F851" s="45"/>
      <c r="G851" s="45"/>
      <c r="H851" s="44"/>
      <c r="I851" s="45"/>
      <c r="J851" s="45"/>
      <c r="K851" s="46"/>
      <c r="L851" s="47"/>
    </row>
    <row r="852">
      <c r="A852" s="53"/>
      <c r="B852" s="45"/>
      <c r="C852" s="45"/>
      <c r="D852" s="45"/>
      <c r="E852" s="45"/>
      <c r="F852" s="45"/>
      <c r="G852" s="45"/>
      <c r="H852" s="44"/>
      <c r="I852" s="45"/>
      <c r="J852" s="45"/>
      <c r="K852" s="46"/>
      <c r="L852" s="47"/>
    </row>
    <row r="853">
      <c r="A853" s="53"/>
      <c r="B853" s="45"/>
      <c r="C853" s="45"/>
      <c r="D853" s="45"/>
      <c r="E853" s="45"/>
      <c r="F853" s="45"/>
      <c r="G853" s="45"/>
      <c r="H853" s="44"/>
      <c r="I853" s="45"/>
      <c r="J853" s="45"/>
      <c r="K853" s="46"/>
      <c r="L853" s="47"/>
    </row>
    <row r="854">
      <c r="A854" s="53"/>
      <c r="B854" s="45"/>
      <c r="C854" s="45"/>
      <c r="D854" s="45"/>
      <c r="E854" s="45"/>
      <c r="F854" s="45"/>
      <c r="G854" s="45"/>
      <c r="H854" s="44"/>
      <c r="I854" s="45"/>
      <c r="J854" s="45"/>
      <c r="K854" s="46"/>
      <c r="L854" s="47"/>
    </row>
    <row r="855">
      <c r="A855" s="53"/>
      <c r="B855" s="45"/>
      <c r="C855" s="45"/>
      <c r="D855" s="45"/>
      <c r="E855" s="45"/>
      <c r="F855" s="45"/>
      <c r="G855" s="45"/>
      <c r="H855" s="44"/>
      <c r="I855" s="45"/>
      <c r="J855" s="45"/>
      <c r="K855" s="46"/>
      <c r="L855" s="47"/>
    </row>
    <row r="856">
      <c r="A856" s="53"/>
      <c r="B856" s="45"/>
      <c r="C856" s="45"/>
      <c r="D856" s="45"/>
      <c r="E856" s="45"/>
      <c r="F856" s="45"/>
      <c r="G856" s="45"/>
      <c r="H856" s="44"/>
      <c r="I856" s="45"/>
      <c r="J856" s="45"/>
      <c r="K856" s="46"/>
      <c r="L856" s="47"/>
    </row>
    <row r="857">
      <c r="A857" s="53"/>
      <c r="B857" s="45"/>
      <c r="C857" s="45"/>
      <c r="D857" s="45"/>
      <c r="E857" s="45"/>
      <c r="F857" s="45"/>
      <c r="G857" s="45"/>
      <c r="H857" s="44"/>
      <c r="I857" s="45"/>
      <c r="J857" s="45"/>
      <c r="K857" s="46"/>
      <c r="L857" s="47"/>
    </row>
    <row r="858">
      <c r="A858" s="53"/>
      <c r="B858" s="45"/>
      <c r="C858" s="45"/>
      <c r="D858" s="45"/>
      <c r="E858" s="45"/>
      <c r="F858" s="45"/>
      <c r="G858" s="45"/>
      <c r="H858" s="44"/>
      <c r="I858" s="45"/>
      <c r="J858" s="45"/>
      <c r="K858" s="46"/>
      <c r="L858" s="47"/>
    </row>
    <row r="859">
      <c r="A859" s="53"/>
      <c r="B859" s="45"/>
      <c r="C859" s="45"/>
      <c r="D859" s="45"/>
      <c r="E859" s="45"/>
      <c r="F859" s="45"/>
      <c r="G859" s="45"/>
      <c r="H859" s="44"/>
      <c r="I859" s="45"/>
      <c r="J859" s="45"/>
      <c r="K859" s="46"/>
      <c r="L859" s="47"/>
    </row>
    <row r="860">
      <c r="A860" s="53"/>
      <c r="B860" s="45"/>
      <c r="C860" s="45"/>
      <c r="D860" s="45"/>
      <c r="E860" s="45"/>
      <c r="F860" s="45"/>
      <c r="G860" s="45"/>
      <c r="H860" s="44"/>
      <c r="I860" s="45"/>
      <c r="J860" s="45"/>
      <c r="K860" s="46"/>
      <c r="L860" s="47"/>
    </row>
    <row r="861">
      <c r="A861" s="53"/>
      <c r="B861" s="45"/>
      <c r="C861" s="45"/>
      <c r="D861" s="45"/>
      <c r="E861" s="45"/>
      <c r="F861" s="45"/>
      <c r="G861" s="45"/>
      <c r="H861" s="44"/>
      <c r="I861" s="45"/>
      <c r="J861" s="45"/>
      <c r="K861" s="46"/>
      <c r="L861" s="47"/>
    </row>
    <row r="862">
      <c r="A862" s="53"/>
      <c r="B862" s="45"/>
      <c r="C862" s="45"/>
      <c r="D862" s="45"/>
      <c r="E862" s="45"/>
      <c r="F862" s="45"/>
      <c r="G862" s="45"/>
      <c r="H862" s="44"/>
      <c r="I862" s="45"/>
      <c r="J862" s="45"/>
      <c r="K862" s="46"/>
      <c r="L862" s="47"/>
    </row>
    <row r="863">
      <c r="A863" s="53"/>
      <c r="B863" s="45"/>
      <c r="C863" s="45"/>
      <c r="D863" s="45"/>
      <c r="E863" s="45"/>
      <c r="F863" s="45"/>
      <c r="G863" s="45"/>
      <c r="H863" s="44"/>
      <c r="I863" s="45"/>
      <c r="J863" s="45"/>
      <c r="K863" s="46"/>
      <c r="L863" s="47"/>
    </row>
    <row r="864">
      <c r="A864" s="53"/>
      <c r="B864" s="45"/>
      <c r="C864" s="45"/>
      <c r="D864" s="45"/>
      <c r="E864" s="45"/>
      <c r="F864" s="45"/>
      <c r="G864" s="45"/>
      <c r="H864" s="44"/>
      <c r="I864" s="45"/>
      <c r="J864" s="45"/>
      <c r="K864" s="46"/>
      <c r="L864" s="47"/>
    </row>
    <row r="865">
      <c r="A865" s="53"/>
      <c r="B865" s="45"/>
      <c r="C865" s="45"/>
      <c r="D865" s="45"/>
      <c r="E865" s="45"/>
      <c r="F865" s="45"/>
      <c r="G865" s="45"/>
      <c r="H865" s="44"/>
      <c r="I865" s="45"/>
      <c r="J865" s="45"/>
      <c r="K865" s="46"/>
      <c r="L865" s="47"/>
    </row>
    <row r="866">
      <c r="A866" s="53"/>
      <c r="B866" s="45"/>
      <c r="C866" s="45"/>
      <c r="D866" s="45"/>
      <c r="E866" s="45"/>
      <c r="F866" s="45"/>
      <c r="G866" s="45"/>
      <c r="H866" s="44"/>
      <c r="I866" s="45"/>
      <c r="J866" s="45"/>
      <c r="K866" s="46"/>
      <c r="L866" s="47"/>
    </row>
    <row r="867">
      <c r="A867" s="53"/>
      <c r="B867" s="45"/>
      <c r="C867" s="45"/>
      <c r="D867" s="45"/>
      <c r="E867" s="45"/>
      <c r="F867" s="45"/>
      <c r="G867" s="45"/>
      <c r="H867" s="44"/>
      <c r="I867" s="45"/>
      <c r="J867" s="45"/>
      <c r="K867" s="46"/>
      <c r="L867" s="47"/>
    </row>
    <row r="868">
      <c r="A868" s="53"/>
      <c r="B868" s="45"/>
      <c r="C868" s="45"/>
      <c r="D868" s="45"/>
      <c r="E868" s="45"/>
      <c r="F868" s="45"/>
      <c r="G868" s="45"/>
      <c r="H868" s="44"/>
      <c r="I868" s="45"/>
      <c r="J868" s="45"/>
      <c r="K868" s="46"/>
      <c r="L868" s="47"/>
    </row>
    <row r="869">
      <c r="A869" s="53"/>
      <c r="B869" s="45"/>
      <c r="C869" s="45"/>
      <c r="D869" s="45"/>
      <c r="E869" s="45"/>
      <c r="F869" s="45"/>
      <c r="G869" s="45"/>
      <c r="H869" s="44"/>
      <c r="I869" s="45"/>
      <c r="J869" s="45"/>
      <c r="K869" s="46"/>
      <c r="L869" s="47"/>
    </row>
    <row r="870">
      <c r="A870" s="53"/>
      <c r="B870" s="45"/>
      <c r="C870" s="45"/>
      <c r="D870" s="45"/>
      <c r="E870" s="45"/>
      <c r="F870" s="45"/>
      <c r="G870" s="45"/>
      <c r="H870" s="44"/>
      <c r="I870" s="45"/>
      <c r="J870" s="45"/>
      <c r="K870" s="46"/>
      <c r="L870" s="47"/>
    </row>
    <row r="871">
      <c r="A871" s="53"/>
      <c r="B871" s="45"/>
      <c r="C871" s="45"/>
      <c r="D871" s="45"/>
      <c r="E871" s="45"/>
      <c r="F871" s="45"/>
      <c r="G871" s="45"/>
      <c r="H871" s="44"/>
      <c r="I871" s="45"/>
      <c r="J871" s="45"/>
      <c r="K871" s="46"/>
      <c r="L871" s="47"/>
    </row>
    <row r="872">
      <c r="A872" s="53"/>
      <c r="B872" s="45"/>
      <c r="C872" s="45"/>
      <c r="D872" s="45"/>
      <c r="E872" s="45"/>
      <c r="F872" s="45"/>
      <c r="G872" s="45"/>
      <c r="H872" s="44"/>
      <c r="I872" s="45"/>
      <c r="J872" s="45"/>
      <c r="K872" s="46"/>
      <c r="L872" s="47"/>
    </row>
    <row r="873">
      <c r="A873" s="53"/>
      <c r="B873" s="45"/>
      <c r="C873" s="45"/>
      <c r="D873" s="45"/>
      <c r="E873" s="45"/>
      <c r="F873" s="45"/>
      <c r="G873" s="45"/>
      <c r="H873" s="44"/>
      <c r="I873" s="45"/>
      <c r="J873" s="45"/>
      <c r="K873" s="46"/>
      <c r="L873" s="47"/>
    </row>
    <row r="874">
      <c r="A874" s="53"/>
      <c r="B874" s="45"/>
      <c r="C874" s="45"/>
      <c r="D874" s="45"/>
      <c r="E874" s="45"/>
      <c r="F874" s="45"/>
      <c r="G874" s="45"/>
      <c r="H874" s="44"/>
      <c r="I874" s="45"/>
      <c r="J874" s="45"/>
      <c r="K874" s="46"/>
      <c r="L874" s="47"/>
    </row>
    <row r="875">
      <c r="A875" s="53"/>
      <c r="B875" s="45"/>
      <c r="C875" s="45"/>
      <c r="D875" s="45"/>
      <c r="E875" s="45"/>
      <c r="F875" s="45"/>
      <c r="G875" s="45"/>
      <c r="H875" s="44"/>
      <c r="I875" s="45"/>
      <c r="J875" s="45"/>
      <c r="K875" s="46"/>
      <c r="L875" s="47"/>
    </row>
    <row r="876">
      <c r="A876" s="53"/>
      <c r="B876" s="45"/>
      <c r="C876" s="45"/>
      <c r="D876" s="45"/>
      <c r="E876" s="45"/>
      <c r="F876" s="45"/>
      <c r="G876" s="45"/>
      <c r="H876" s="44"/>
      <c r="I876" s="45"/>
      <c r="J876" s="45"/>
      <c r="K876" s="46"/>
      <c r="L876" s="47"/>
    </row>
    <row r="877">
      <c r="A877" s="53"/>
      <c r="B877" s="45"/>
      <c r="C877" s="45"/>
      <c r="D877" s="45"/>
      <c r="E877" s="45"/>
      <c r="F877" s="45"/>
      <c r="G877" s="45"/>
      <c r="H877" s="44"/>
      <c r="I877" s="45"/>
      <c r="J877" s="45"/>
      <c r="K877" s="46"/>
      <c r="L877" s="47"/>
    </row>
    <row r="878">
      <c r="A878" s="53"/>
      <c r="B878" s="45"/>
      <c r="C878" s="45"/>
      <c r="D878" s="45"/>
      <c r="E878" s="45"/>
      <c r="F878" s="45"/>
      <c r="G878" s="45"/>
      <c r="H878" s="44"/>
      <c r="I878" s="45"/>
      <c r="J878" s="45"/>
      <c r="K878" s="46"/>
      <c r="L878" s="47"/>
    </row>
    <row r="879">
      <c r="A879" s="53"/>
      <c r="B879" s="45"/>
      <c r="C879" s="45"/>
      <c r="D879" s="45"/>
      <c r="E879" s="45"/>
      <c r="F879" s="45"/>
      <c r="G879" s="45"/>
      <c r="H879" s="44"/>
      <c r="I879" s="45"/>
      <c r="J879" s="45"/>
      <c r="K879" s="46"/>
      <c r="L879" s="47"/>
    </row>
    <row r="880">
      <c r="A880" s="53"/>
      <c r="B880" s="45"/>
      <c r="C880" s="45"/>
      <c r="D880" s="45"/>
      <c r="E880" s="45"/>
      <c r="F880" s="45"/>
      <c r="G880" s="45"/>
      <c r="H880" s="44"/>
      <c r="I880" s="45"/>
      <c r="J880" s="45"/>
      <c r="K880" s="46"/>
      <c r="L880" s="47"/>
    </row>
    <row r="881">
      <c r="A881" s="53"/>
      <c r="B881" s="45"/>
      <c r="C881" s="45"/>
      <c r="D881" s="45"/>
      <c r="E881" s="45"/>
      <c r="F881" s="45"/>
      <c r="G881" s="45"/>
      <c r="H881" s="44"/>
      <c r="I881" s="45"/>
      <c r="J881" s="45"/>
      <c r="K881" s="46"/>
      <c r="L881" s="47"/>
    </row>
    <row r="882">
      <c r="A882" s="53"/>
      <c r="B882" s="45"/>
      <c r="C882" s="45"/>
      <c r="D882" s="45"/>
      <c r="E882" s="45"/>
      <c r="F882" s="45"/>
      <c r="G882" s="45"/>
      <c r="H882" s="44"/>
      <c r="I882" s="45"/>
      <c r="J882" s="45"/>
      <c r="K882" s="46"/>
      <c r="L882" s="47"/>
    </row>
    <row r="883">
      <c r="A883" s="53"/>
      <c r="B883" s="45"/>
      <c r="C883" s="45"/>
      <c r="D883" s="45"/>
      <c r="E883" s="45"/>
      <c r="F883" s="45"/>
      <c r="G883" s="45"/>
      <c r="H883" s="44"/>
      <c r="I883" s="45"/>
      <c r="J883" s="45"/>
      <c r="K883" s="46"/>
      <c r="L883" s="47"/>
    </row>
    <row r="884">
      <c r="A884" s="53"/>
      <c r="B884" s="45"/>
      <c r="C884" s="45"/>
      <c r="D884" s="45"/>
      <c r="E884" s="45"/>
      <c r="F884" s="45"/>
      <c r="G884" s="45"/>
      <c r="H884" s="44"/>
      <c r="I884" s="45"/>
      <c r="J884" s="45"/>
      <c r="K884" s="46"/>
      <c r="L884" s="47"/>
    </row>
    <row r="885">
      <c r="A885" s="53"/>
      <c r="B885" s="45"/>
      <c r="C885" s="45"/>
      <c r="D885" s="45"/>
      <c r="E885" s="45"/>
      <c r="F885" s="45"/>
      <c r="G885" s="45"/>
      <c r="H885" s="44"/>
      <c r="I885" s="45"/>
      <c r="J885" s="45"/>
      <c r="K885" s="46"/>
      <c r="L885" s="47"/>
    </row>
    <row r="886">
      <c r="A886" s="53"/>
      <c r="B886" s="45"/>
      <c r="C886" s="45"/>
      <c r="D886" s="45"/>
      <c r="E886" s="45"/>
      <c r="F886" s="45"/>
      <c r="G886" s="45"/>
      <c r="H886" s="44"/>
      <c r="I886" s="45"/>
      <c r="J886" s="45"/>
      <c r="K886" s="46"/>
      <c r="L886" s="47"/>
    </row>
    <row r="887">
      <c r="A887" s="53"/>
      <c r="B887" s="45"/>
      <c r="C887" s="45"/>
      <c r="D887" s="45"/>
      <c r="E887" s="45"/>
      <c r="F887" s="45"/>
      <c r="G887" s="45"/>
      <c r="H887" s="44"/>
      <c r="I887" s="45"/>
      <c r="J887" s="45"/>
      <c r="K887" s="46"/>
      <c r="L887" s="47"/>
    </row>
    <row r="888">
      <c r="A888" s="53"/>
      <c r="B888" s="45"/>
      <c r="C888" s="45"/>
      <c r="D888" s="45"/>
      <c r="E888" s="45"/>
      <c r="F888" s="45"/>
      <c r="G888" s="45"/>
      <c r="H888" s="44"/>
      <c r="I888" s="45"/>
      <c r="J888" s="45"/>
      <c r="K888" s="46"/>
      <c r="L888" s="47"/>
    </row>
    <row r="889">
      <c r="A889" s="53"/>
      <c r="B889" s="45"/>
      <c r="C889" s="45"/>
      <c r="D889" s="45"/>
      <c r="E889" s="45"/>
      <c r="F889" s="45"/>
      <c r="G889" s="45"/>
      <c r="H889" s="44"/>
      <c r="I889" s="45"/>
      <c r="J889" s="45"/>
      <c r="K889" s="46"/>
      <c r="L889" s="47"/>
    </row>
    <row r="890">
      <c r="A890" s="53"/>
      <c r="B890" s="45"/>
      <c r="C890" s="45"/>
      <c r="D890" s="45"/>
      <c r="E890" s="45"/>
      <c r="F890" s="45"/>
      <c r="G890" s="45"/>
      <c r="H890" s="44"/>
      <c r="I890" s="45"/>
      <c r="J890" s="45"/>
      <c r="K890" s="46"/>
      <c r="L890" s="47"/>
    </row>
    <row r="891">
      <c r="A891" s="53"/>
      <c r="B891" s="45"/>
      <c r="C891" s="45"/>
      <c r="D891" s="45"/>
      <c r="E891" s="45"/>
      <c r="F891" s="45"/>
      <c r="G891" s="45"/>
      <c r="H891" s="44"/>
      <c r="I891" s="45"/>
      <c r="J891" s="45"/>
      <c r="K891" s="46"/>
      <c r="L891" s="47"/>
    </row>
    <row r="892">
      <c r="A892" s="53"/>
      <c r="B892" s="45"/>
      <c r="C892" s="45"/>
      <c r="D892" s="45"/>
      <c r="E892" s="45"/>
      <c r="F892" s="45"/>
      <c r="G892" s="45"/>
      <c r="H892" s="44"/>
      <c r="I892" s="45"/>
      <c r="J892" s="45"/>
      <c r="K892" s="46"/>
      <c r="L892" s="47"/>
    </row>
    <row r="893">
      <c r="A893" s="53"/>
      <c r="B893" s="45"/>
      <c r="C893" s="45"/>
      <c r="D893" s="45"/>
      <c r="E893" s="45"/>
      <c r="F893" s="45"/>
      <c r="G893" s="45"/>
      <c r="H893" s="44"/>
      <c r="I893" s="45"/>
      <c r="J893" s="45"/>
      <c r="K893" s="46"/>
      <c r="L893" s="47"/>
    </row>
    <row r="894">
      <c r="A894" s="53"/>
      <c r="B894" s="45"/>
      <c r="C894" s="45"/>
      <c r="D894" s="45"/>
      <c r="E894" s="45"/>
      <c r="F894" s="45"/>
      <c r="G894" s="45"/>
      <c r="H894" s="44"/>
      <c r="I894" s="45"/>
      <c r="J894" s="45"/>
      <c r="K894" s="46"/>
      <c r="L894" s="47"/>
    </row>
    <row r="895">
      <c r="A895" s="53"/>
      <c r="B895" s="45"/>
      <c r="C895" s="45"/>
      <c r="D895" s="45"/>
      <c r="E895" s="45"/>
      <c r="F895" s="45"/>
      <c r="G895" s="45"/>
      <c r="H895" s="44"/>
      <c r="I895" s="45"/>
      <c r="J895" s="45"/>
      <c r="K895" s="46"/>
      <c r="L895" s="47"/>
    </row>
    <row r="896">
      <c r="A896" s="53"/>
      <c r="B896" s="45"/>
      <c r="C896" s="45"/>
      <c r="D896" s="45"/>
      <c r="E896" s="45"/>
      <c r="F896" s="45"/>
      <c r="G896" s="45"/>
      <c r="H896" s="44"/>
      <c r="I896" s="45"/>
      <c r="J896" s="45"/>
      <c r="K896" s="46"/>
      <c r="L896" s="47"/>
    </row>
    <row r="897">
      <c r="A897" s="53"/>
      <c r="B897" s="45"/>
      <c r="C897" s="45"/>
      <c r="D897" s="45"/>
      <c r="E897" s="45"/>
      <c r="F897" s="45"/>
      <c r="G897" s="45"/>
      <c r="H897" s="44"/>
      <c r="I897" s="45"/>
      <c r="J897" s="45"/>
      <c r="K897" s="46"/>
      <c r="L897" s="47"/>
    </row>
    <row r="898">
      <c r="A898" s="53"/>
      <c r="B898" s="45"/>
      <c r="C898" s="45"/>
      <c r="D898" s="45"/>
      <c r="E898" s="45"/>
      <c r="F898" s="45"/>
      <c r="G898" s="45"/>
      <c r="H898" s="44"/>
      <c r="I898" s="45"/>
      <c r="J898" s="45"/>
      <c r="K898" s="46"/>
      <c r="L898" s="47"/>
    </row>
    <row r="899">
      <c r="A899" s="53"/>
      <c r="B899" s="45"/>
      <c r="C899" s="45"/>
      <c r="D899" s="45"/>
      <c r="E899" s="45"/>
      <c r="F899" s="45"/>
      <c r="G899" s="45"/>
      <c r="H899" s="44"/>
      <c r="I899" s="45"/>
      <c r="J899" s="45"/>
      <c r="K899" s="46"/>
      <c r="L899" s="47"/>
    </row>
    <row r="900">
      <c r="A900" s="53"/>
      <c r="B900" s="45"/>
      <c r="C900" s="45"/>
      <c r="D900" s="45"/>
      <c r="E900" s="45"/>
      <c r="F900" s="45"/>
      <c r="G900" s="45"/>
      <c r="H900" s="44"/>
      <c r="I900" s="45"/>
      <c r="J900" s="45"/>
      <c r="K900" s="46"/>
      <c r="L900" s="47"/>
    </row>
    <row r="901">
      <c r="A901" s="53"/>
      <c r="B901" s="45"/>
      <c r="C901" s="45"/>
      <c r="D901" s="45"/>
      <c r="E901" s="45"/>
      <c r="F901" s="45"/>
      <c r="G901" s="45"/>
      <c r="H901" s="44"/>
      <c r="I901" s="45"/>
      <c r="J901" s="45"/>
      <c r="K901" s="46"/>
      <c r="L901" s="47"/>
    </row>
    <row r="902">
      <c r="A902" s="53"/>
      <c r="B902" s="45"/>
      <c r="C902" s="45"/>
      <c r="D902" s="45"/>
      <c r="E902" s="45"/>
      <c r="F902" s="45"/>
      <c r="G902" s="45"/>
      <c r="H902" s="44"/>
      <c r="I902" s="45"/>
      <c r="J902" s="45"/>
      <c r="K902" s="46"/>
      <c r="L902" s="47"/>
    </row>
    <row r="903">
      <c r="A903" s="53"/>
      <c r="B903" s="45"/>
      <c r="C903" s="45"/>
      <c r="D903" s="45"/>
      <c r="E903" s="45"/>
      <c r="F903" s="45"/>
      <c r="G903" s="45"/>
      <c r="H903" s="44"/>
      <c r="I903" s="45"/>
      <c r="J903" s="45"/>
      <c r="K903" s="46"/>
      <c r="L903" s="47"/>
    </row>
    <row r="904">
      <c r="A904" s="53"/>
      <c r="B904" s="45"/>
      <c r="C904" s="45"/>
      <c r="D904" s="45"/>
      <c r="E904" s="45"/>
      <c r="F904" s="45"/>
      <c r="G904" s="45"/>
      <c r="H904" s="44"/>
      <c r="I904" s="45"/>
      <c r="J904" s="45"/>
      <c r="K904" s="46"/>
      <c r="L904" s="47"/>
    </row>
    <row r="905">
      <c r="A905" s="53"/>
      <c r="B905" s="45"/>
      <c r="C905" s="45"/>
      <c r="D905" s="45"/>
      <c r="E905" s="45"/>
      <c r="F905" s="45"/>
      <c r="G905" s="45"/>
      <c r="H905" s="44"/>
      <c r="I905" s="45"/>
      <c r="J905" s="45"/>
      <c r="K905" s="46"/>
      <c r="L905" s="47"/>
    </row>
    <row r="906">
      <c r="A906" s="53"/>
      <c r="B906" s="45"/>
      <c r="C906" s="45"/>
      <c r="D906" s="45"/>
      <c r="E906" s="45"/>
      <c r="F906" s="45"/>
      <c r="G906" s="45"/>
      <c r="H906" s="44"/>
      <c r="I906" s="45"/>
      <c r="J906" s="45"/>
      <c r="K906" s="46"/>
      <c r="L906" s="47"/>
    </row>
    <row r="907">
      <c r="A907" s="53"/>
      <c r="B907" s="45"/>
      <c r="C907" s="45"/>
      <c r="D907" s="45"/>
      <c r="E907" s="45"/>
      <c r="F907" s="45"/>
      <c r="G907" s="45"/>
      <c r="H907" s="44"/>
      <c r="I907" s="45"/>
      <c r="J907" s="45"/>
      <c r="K907" s="46"/>
      <c r="L907" s="47"/>
    </row>
    <row r="908">
      <c r="A908" s="53"/>
      <c r="B908" s="45"/>
      <c r="C908" s="45"/>
      <c r="D908" s="45"/>
      <c r="E908" s="45"/>
      <c r="F908" s="45"/>
      <c r="G908" s="45"/>
      <c r="H908" s="44"/>
      <c r="I908" s="45"/>
      <c r="J908" s="45"/>
      <c r="K908" s="46"/>
      <c r="L908" s="47"/>
    </row>
    <row r="909">
      <c r="A909" s="53"/>
      <c r="B909" s="45"/>
      <c r="C909" s="45"/>
      <c r="D909" s="45"/>
      <c r="E909" s="45"/>
      <c r="F909" s="45"/>
      <c r="G909" s="45"/>
      <c r="H909" s="44"/>
      <c r="I909" s="45"/>
      <c r="J909" s="45"/>
      <c r="K909" s="46"/>
      <c r="L909" s="47"/>
    </row>
    <row r="910">
      <c r="A910" s="53"/>
      <c r="B910" s="45"/>
      <c r="C910" s="45"/>
      <c r="D910" s="45"/>
      <c r="E910" s="45"/>
      <c r="F910" s="45"/>
      <c r="G910" s="45"/>
      <c r="H910" s="44"/>
      <c r="I910" s="45"/>
      <c r="J910" s="45"/>
      <c r="K910" s="46"/>
      <c r="L910" s="47"/>
    </row>
    <row r="911">
      <c r="A911" s="53"/>
      <c r="B911" s="45"/>
      <c r="C911" s="45"/>
      <c r="D911" s="45"/>
      <c r="E911" s="45"/>
      <c r="F911" s="45"/>
      <c r="G911" s="45"/>
      <c r="H911" s="44"/>
      <c r="I911" s="45"/>
      <c r="J911" s="45"/>
      <c r="K911" s="46"/>
      <c r="L911" s="47"/>
    </row>
    <row r="912">
      <c r="A912" s="53"/>
      <c r="B912" s="45"/>
      <c r="C912" s="45"/>
      <c r="D912" s="45"/>
      <c r="E912" s="45"/>
      <c r="F912" s="45"/>
      <c r="G912" s="45"/>
      <c r="H912" s="44"/>
      <c r="I912" s="45"/>
      <c r="J912" s="45"/>
      <c r="K912" s="46"/>
      <c r="L912" s="47"/>
    </row>
    <row r="913">
      <c r="A913" s="53"/>
      <c r="B913" s="45"/>
      <c r="C913" s="45"/>
      <c r="D913" s="45"/>
      <c r="E913" s="45"/>
      <c r="F913" s="45"/>
      <c r="G913" s="45"/>
      <c r="H913" s="44"/>
      <c r="I913" s="45"/>
      <c r="J913" s="45"/>
      <c r="K913" s="46"/>
      <c r="L913" s="47"/>
    </row>
    <row r="914">
      <c r="A914" s="53"/>
      <c r="B914" s="45"/>
      <c r="C914" s="45"/>
      <c r="D914" s="45"/>
      <c r="E914" s="45"/>
      <c r="F914" s="45"/>
      <c r="G914" s="45"/>
      <c r="H914" s="44"/>
      <c r="I914" s="45"/>
      <c r="J914" s="45"/>
      <c r="K914" s="46"/>
      <c r="L914" s="47"/>
    </row>
    <row r="915">
      <c r="A915" s="53"/>
      <c r="B915" s="45"/>
      <c r="C915" s="45"/>
      <c r="D915" s="45"/>
      <c r="E915" s="45"/>
      <c r="F915" s="45"/>
      <c r="G915" s="45"/>
      <c r="H915" s="44"/>
      <c r="I915" s="45"/>
      <c r="J915" s="45"/>
      <c r="K915" s="46"/>
      <c r="L915" s="47"/>
    </row>
    <row r="916">
      <c r="A916" s="53"/>
      <c r="B916" s="45"/>
      <c r="C916" s="45"/>
      <c r="D916" s="45"/>
      <c r="E916" s="45"/>
      <c r="F916" s="45"/>
      <c r="G916" s="45"/>
      <c r="H916" s="44"/>
      <c r="I916" s="45"/>
      <c r="J916" s="45"/>
      <c r="K916" s="46"/>
      <c r="L916" s="47"/>
    </row>
    <row r="917">
      <c r="A917" s="53"/>
      <c r="B917" s="45"/>
      <c r="C917" s="45"/>
      <c r="D917" s="45"/>
      <c r="E917" s="45"/>
      <c r="F917" s="45"/>
      <c r="G917" s="45"/>
      <c r="H917" s="44"/>
      <c r="I917" s="45"/>
      <c r="J917" s="45"/>
      <c r="K917" s="46"/>
      <c r="L917" s="47"/>
    </row>
    <row r="918">
      <c r="A918" s="53"/>
      <c r="B918" s="45"/>
      <c r="C918" s="45"/>
      <c r="D918" s="45"/>
      <c r="E918" s="45"/>
      <c r="F918" s="45"/>
      <c r="G918" s="45"/>
      <c r="H918" s="44"/>
      <c r="I918" s="45"/>
      <c r="J918" s="45"/>
      <c r="K918" s="46"/>
      <c r="L918" s="47"/>
    </row>
    <row r="919">
      <c r="A919" s="53"/>
      <c r="B919" s="45"/>
      <c r="C919" s="45"/>
      <c r="D919" s="45"/>
      <c r="E919" s="45"/>
      <c r="F919" s="45"/>
      <c r="G919" s="45"/>
      <c r="H919" s="44"/>
      <c r="I919" s="45"/>
      <c r="J919" s="45"/>
      <c r="K919" s="46"/>
      <c r="L919" s="47"/>
    </row>
    <row r="920">
      <c r="A920" s="53"/>
      <c r="B920" s="45"/>
      <c r="C920" s="45"/>
      <c r="D920" s="45"/>
      <c r="E920" s="45"/>
      <c r="F920" s="45"/>
      <c r="G920" s="45"/>
      <c r="H920" s="44"/>
      <c r="I920" s="45"/>
      <c r="J920" s="45"/>
      <c r="K920" s="46"/>
      <c r="L920" s="47"/>
    </row>
    <row r="921">
      <c r="A921" s="53"/>
      <c r="B921" s="45"/>
      <c r="C921" s="45"/>
      <c r="D921" s="45"/>
      <c r="E921" s="45"/>
      <c r="F921" s="45"/>
      <c r="G921" s="45"/>
      <c r="H921" s="44"/>
      <c r="I921" s="45"/>
      <c r="J921" s="45"/>
      <c r="K921" s="46"/>
      <c r="L921" s="47"/>
    </row>
    <row r="922">
      <c r="A922" s="53"/>
      <c r="B922" s="45"/>
      <c r="C922" s="45"/>
      <c r="D922" s="45"/>
      <c r="E922" s="45"/>
      <c r="F922" s="45"/>
      <c r="G922" s="45"/>
      <c r="H922" s="44"/>
      <c r="I922" s="45"/>
      <c r="J922" s="45"/>
      <c r="K922" s="46"/>
      <c r="L922" s="47"/>
    </row>
    <row r="923">
      <c r="A923" s="53"/>
      <c r="B923" s="45"/>
      <c r="C923" s="45"/>
      <c r="D923" s="45"/>
      <c r="E923" s="45"/>
      <c r="F923" s="45"/>
      <c r="G923" s="45"/>
      <c r="H923" s="44"/>
      <c r="I923" s="45"/>
      <c r="J923" s="45"/>
      <c r="K923" s="46"/>
      <c r="L923" s="47"/>
    </row>
    <row r="924">
      <c r="A924" s="53"/>
      <c r="B924" s="45"/>
      <c r="C924" s="45"/>
      <c r="D924" s="45"/>
      <c r="E924" s="45"/>
      <c r="F924" s="45"/>
      <c r="G924" s="45"/>
      <c r="H924" s="44"/>
      <c r="I924" s="45"/>
      <c r="J924" s="45"/>
      <c r="K924" s="46"/>
      <c r="L924" s="47"/>
    </row>
    <row r="925">
      <c r="A925" s="53"/>
      <c r="B925" s="45"/>
      <c r="C925" s="45"/>
      <c r="D925" s="45"/>
      <c r="E925" s="45"/>
      <c r="F925" s="45"/>
      <c r="G925" s="45"/>
      <c r="H925" s="44"/>
      <c r="I925" s="45"/>
      <c r="J925" s="45"/>
      <c r="K925" s="46"/>
      <c r="L925" s="47"/>
    </row>
    <row r="926">
      <c r="A926" s="53"/>
      <c r="B926" s="45"/>
      <c r="C926" s="45"/>
      <c r="D926" s="45"/>
      <c r="E926" s="45"/>
      <c r="F926" s="45"/>
      <c r="G926" s="45"/>
      <c r="H926" s="44"/>
      <c r="I926" s="45"/>
      <c r="J926" s="45"/>
      <c r="K926" s="46"/>
      <c r="L926" s="47"/>
    </row>
    <row r="927">
      <c r="A927" s="53"/>
      <c r="B927" s="45"/>
      <c r="C927" s="45"/>
      <c r="D927" s="45"/>
      <c r="E927" s="45"/>
      <c r="F927" s="45"/>
      <c r="G927" s="45"/>
      <c r="H927" s="44"/>
      <c r="I927" s="45"/>
      <c r="J927" s="45"/>
      <c r="K927" s="46"/>
      <c r="L927" s="47"/>
    </row>
    <row r="928">
      <c r="A928" s="53"/>
      <c r="B928" s="45"/>
      <c r="C928" s="45"/>
      <c r="D928" s="45"/>
      <c r="E928" s="45"/>
      <c r="F928" s="45"/>
      <c r="G928" s="45"/>
      <c r="H928" s="44"/>
      <c r="I928" s="45"/>
      <c r="J928" s="45"/>
      <c r="K928" s="46"/>
      <c r="L928" s="47"/>
    </row>
    <row r="929">
      <c r="A929" s="53"/>
      <c r="B929" s="45"/>
      <c r="C929" s="45"/>
      <c r="D929" s="45"/>
      <c r="E929" s="45"/>
      <c r="F929" s="45"/>
      <c r="G929" s="45"/>
      <c r="H929" s="44"/>
      <c r="I929" s="45"/>
      <c r="J929" s="45"/>
      <c r="K929" s="46"/>
      <c r="L929" s="47"/>
    </row>
    <row r="930">
      <c r="A930" s="53"/>
      <c r="B930" s="45"/>
      <c r="C930" s="45"/>
      <c r="D930" s="45"/>
      <c r="E930" s="45"/>
      <c r="F930" s="45"/>
      <c r="G930" s="45"/>
      <c r="H930" s="44"/>
      <c r="I930" s="45"/>
      <c r="J930" s="45"/>
      <c r="K930" s="46"/>
      <c r="L930" s="47"/>
    </row>
    <row r="931">
      <c r="A931" s="53"/>
      <c r="B931" s="45"/>
      <c r="C931" s="45"/>
      <c r="D931" s="45"/>
      <c r="E931" s="45"/>
      <c r="F931" s="45"/>
      <c r="G931" s="45"/>
      <c r="H931" s="44"/>
      <c r="I931" s="45"/>
      <c r="J931" s="45"/>
      <c r="K931" s="46"/>
      <c r="L931" s="47"/>
    </row>
    <row r="932">
      <c r="A932" s="53"/>
      <c r="B932" s="45"/>
      <c r="C932" s="45"/>
      <c r="D932" s="45"/>
      <c r="E932" s="45"/>
      <c r="F932" s="45"/>
      <c r="G932" s="45"/>
      <c r="H932" s="44"/>
      <c r="I932" s="45"/>
      <c r="J932" s="45"/>
      <c r="K932" s="46"/>
      <c r="L932" s="47"/>
    </row>
    <row r="933">
      <c r="A933" s="53"/>
      <c r="B933" s="45"/>
      <c r="C933" s="45"/>
      <c r="D933" s="45"/>
      <c r="E933" s="45"/>
      <c r="F933" s="45"/>
      <c r="G933" s="45"/>
      <c r="H933" s="44"/>
      <c r="I933" s="45"/>
      <c r="J933" s="45"/>
      <c r="K933" s="46"/>
      <c r="L933" s="47"/>
    </row>
    <row r="934">
      <c r="A934" s="53"/>
      <c r="B934" s="45"/>
      <c r="C934" s="45"/>
      <c r="D934" s="45"/>
      <c r="E934" s="45"/>
      <c r="F934" s="45"/>
      <c r="G934" s="45"/>
      <c r="H934" s="44"/>
      <c r="I934" s="45"/>
      <c r="J934" s="45"/>
      <c r="K934" s="46"/>
      <c r="L934" s="47"/>
    </row>
    <row r="935">
      <c r="A935" s="53"/>
      <c r="B935" s="45"/>
      <c r="C935" s="45"/>
      <c r="D935" s="45"/>
      <c r="E935" s="45"/>
      <c r="F935" s="45"/>
      <c r="G935" s="45"/>
      <c r="H935" s="44"/>
      <c r="I935" s="45"/>
      <c r="J935" s="45"/>
      <c r="K935" s="46"/>
      <c r="L935" s="47"/>
    </row>
    <row r="936">
      <c r="A936" s="53"/>
      <c r="B936" s="45"/>
      <c r="C936" s="45"/>
      <c r="D936" s="45"/>
      <c r="E936" s="45"/>
      <c r="F936" s="45"/>
      <c r="G936" s="45"/>
      <c r="H936" s="44"/>
      <c r="I936" s="45"/>
      <c r="J936" s="45"/>
      <c r="K936" s="46"/>
      <c r="L936" s="47"/>
    </row>
    <row r="937">
      <c r="A937" s="53"/>
      <c r="B937" s="45"/>
      <c r="C937" s="45"/>
      <c r="D937" s="45"/>
      <c r="E937" s="45"/>
      <c r="F937" s="45"/>
      <c r="G937" s="45"/>
      <c r="H937" s="44"/>
      <c r="I937" s="45"/>
      <c r="J937" s="45"/>
      <c r="K937" s="46"/>
      <c r="L937" s="47"/>
    </row>
    <row r="938">
      <c r="A938" s="53"/>
      <c r="B938" s="45"/>
      <c r="C938" s="45"/>
      <c r="D938" s="45"/>
      <c r="E938" s="45"/>
      <c r="F938" s="45"/>
      <c r="G938" s="45"/>
      <c r="H938" s="44"/>
      <c r="I938" s="45"/>
      <c r="J938" s="45"/>
      <c r="K938" s="46"/>
      <c r="L938" s="47"/>
    </row>
    <row r="939">
      <c r="A939" s="53"/>
      <c r="B939" s="45"/>
      <c r="C939" s="45"/>
      <c r="D939" s="45"/>
      <c r="E939" s="45"/>
      <c r="F939" s="45"/>
      <c r="G939" s="45"/>
      <c r="H939" s="44"/>
      <c r="I939" s="45"/>
      <c r="J939" s="45"/>
      <c r="K939" s="46"/>
      <c r="L939" s="47"/>
    </row>
    <row r="940">
      <c r="A940" s="53"/>
      <c r="B940" s="45"/>
      <c r="C940" s="45"/>
      <c r="D940" s="45"/>
      <c r="E940" s="45"/>
      <c r="F940" s="45"/>
      <c r="G940" s="45"/>
      <c r="H940" s="44"/>
      <c r="I940" s="45"/>
      <c r="J940" s="45"/>
      <c r="K940" s="46"/>
      <c r="L940" s="47"/>
    </row>
    <row r="941">
      <c r="A941" s="53"/>
      <c r="B941" s="45"/>
      <c r="C941" s="45"/>
      <c r="D941" s="45"/>
      <c r="E941" s="45"/>
      <c r="F941" s="45"/>
      <c r="G941" s="45"/>
      <c r="H941" s="44"/>
      <c r="I941" s="45"/>
      <c r="J941" s="45"/>
      <c r="K941" s="46"/>
      <c r="L941" s="47"/>
    </row>
    <row r="942">
      <c r="A942" s="53"/>
      <c r="B942" s="45"/>
      <c r="C942" s="45"/>
      <c r="D942" s="45"/>
      <c r="E942" s="45"/>
      <c r="F942" s="45"/>
      <c r="G942" s="45"/>
      <c r="H942" s="44"/>
      <c r="I942" s="45"/>
      <c r="J942" s="45"/>
      <c r="K942" s="46"/>
      <c r="L942" s="47"/>
    </row>
    <row r="943">
      <c r="A943" s="53"/>
      <c r="B943" s="45"/>
      <c r="C943" s="45"/>
      <c r="D943" s="45"/>
      <c r="E943" s="45"/>
      <c r="F943" s="45"/>
      <c r="G943" s="45"/>
      <c r="H943" s="44"/>
      <c r="I943" s="45"/>
      <c r="J943" s="45"/>
      <c r="K943" s="46"/>
      <c r="L943" s="47"/>
    </row>
    <row r="944">
      <c r="A944" s="53"/>
      <c r="B944" s="45"/>
      <c r="C944" s="45"/>
      <c r="D944" s="45"/>
      <c r="E944" s="45"/>
      <c r="F944" s="45"/>
      <c r="G944" s="45"/>
      <c r="H944" s="44"/>
      <c r="I944" s="45"/>
      <c r="J944" s="45"/>
      <c r="K944" s="46"/>
      <c r="L944" s="47"/>
    </row>
    <row r="945">
      <c r="A945" s="53"/>
      <c r="B945" s="45"/>
      <c r="C945" s="45"/>
      <c r="D945" s="45"/>
      <c r="E945" s="45"/>
      <c r="F945" s="45"/>
      <c r="G945" s="45"/>
      <c r="H945" s="44"/>
      <c r="I945" s="45"/>
      <c r="J945" s="45"/>
      <c r="K945" s="46"/>
      <c r="L945" s="47"/>
    </row>
    <row r="946">
      <c r="A946" s="53"/>
      <c r="B946" s="45"/>
      <c r="C946" s="45"/>
      <c r="D946" s="45"/>
      <c r="E946" s="45"/>
      <c r="F946" s="45"/>
      <c r="G946" s="45"/>
      <c r="H946" s="44"/>
      <c r="I946" s="45"/>
      <c r="J946" s="45"/>
      <c r="K946" s="46"/>
      <c r="L946" s="47"/>
    </row>
    <row r="947">
      <c r="A947" s="53"/>
      <c r="B947" s="45"/>
      <c r="C947" s="45"/>
      <c r="D947" s="45"/>
      <c r="E947" s="45"/>
      <c r="F947" s="45"/>
      <c r="G947" s="45"/>
      <c r="H947" s="44"/>
      <c r="I947" s="45"/>
      <c r="J947" s="45"/>
      <c r="K947" s="46"/>
      <c r="L947" s="47"/>
    </row>
    <row r="948">
      <c r="A948" s="53"/>
      <c r="B948" s="45"/>
      <c r="C948" s="45"/>
      <c r="D948" s="45"/>
      <c r="E948" s="45"/>
      <c r="F948" s="45"/>
      <c r="G948" s="45"/>
      <c r="H948" s="44"/>
      <c r="I948" s="45"/>
      <c r="J948" s="45"/>
      <c r="K948" s="46"/>
      <c r="L948" s="47"/>
    </row>
    <row r="949">
      <c r="A949" s="53"/>
      <c r="B949" s="45"/>
      <c r="C949" s="45"/>
      <c r="D949" s="45"/>
      <c r="E949" s="45"/>
      <c r="F949" s="45"/>
      <c r="G949" s="45"/>
      <c r="H949" s="44"/>
      <c r="I949" s="45"/>
      <c r="J949" s="45"/>
      <c r="K949" s="46"/>
      <c r="L949" s="47"/>
    </row>
    <row r="950">
      <c r="A950" s="53"/>
      <c r="B950" s="45"/>
      <c r="C950" s="45"/>
      <c r="D950" s="45"/>
      <c r="E950" s="45"/>
      <c r="F950" s="45"/>
      <c r="G950" s="45"/>
      <c r="H950" s="44"/>
      <c r="I950" s="45"/>
      <c r="J950" s="45"/>
      <c r="K950" s="46"/>
      <c r="L950" s="47"/>
    </row>
    <row r="951">
      <c r="A951" s="53"/>
      <c r="B951" s="45"/>
      <c r="C951" s="45"/>
      <c r="D951" s="45"/>
      <c r="E951" s="45"/>
      <c r="F951" s="45"/>
      <c r="G951" s="45"/>
      <c r="H951" s="44"/>
      <c r="I951" s="45"/>
      <c r="J951" s="45"/>
      <c r="K951" s="46"/>
      <c r="L951" s="47"/>
    </row>
    <row r="952">
      <c r="A952" s="53"/>
      <c r="B952" s="45"/>
      <c r="C952" s="45"/>
      <c r="D952" s="45"/>
      <c r="E952" s="45"/>
      <c r="F952" s="45"/>
      <c r="G952" s="45"/>
      <c r="H952" s="44"/>
      <c r="I952" s="45"/>
      <c r="J952" s="45"/>
      <c r="K952" s="46"/>
      <c r="L952" s="47"/>
    </row>
    <row r="953">
      <c r="A953" s="53"/>
      <c r="B953" s="45"/>
      <c r="C953" s="45"/>
      <c r="D953" s="45"/>
      <c r="E953" s="45"/>
      <c r="F953" s="45"/>
      <c r="G953" s="45"/>
      <c r="H953" s="44"/>
      <c r="I953" s="45"/>
      <c r="J953" s="45"/>
      <c r="K953" s="46"/>
      <c r="L953" s="47"/>
    </row>
    <row r="954">
      <c r="A954" s="53"/>
      <c r="B954" s="45"/>
      <c r="C954" s="45"/>
      <c r="D954" s="45"/>
      <c r="E954" s="45"/>
      <c r="F954" s="45"/>
      <c r="G954" s="45"/>
      <c r="H954" s="44"/>
      <c r="I954" s="45"/>
      <c r="J954" s="45"/>
      <c r="K954" s="46"/>
      <c r="L954" s="47"/>
    </row>
    <row r="955">
      <c r="A955" s="53"/>
      <c r="B955" s="45"/>
      <c r="C955" s="45"/>
      <c r="D955" s="45"/>
      <c r="E955" s="45"/>
      <c r="F955" s="45"/>
      <c r="G955" s="45"/>
      <c r="H955" s="44"/>
      <c r="I955" s="45"/>
      <c r="J955" s="45"/>
      <c r="K955" s="46"/>
      <c r="L955" s="47"/>
    </row>
    <row r="956">
      <c r="A956" s="53"/>
      <c r="B956" s="45"/>
      <c r="C956" s="45"/>
      <c r="D956" s="45"/>
      <c r="E956" s="45"/>
      <c r="F956" s="45"/>
      <c r="G956" s="45"/>
      <c r="H956" s="44"/>
      <c r="I956" s="45"/>
      <c r="J956" s="45"/>
      <c r="K956" s="46"/>
      <c r="L956" s="47"/>
    </row>
    <row r="957">
      <c r="A957" s="53"/>
      <c r="B957" s="45"/>
      <c r="C957" s="45"/>
      <c r="D957" s="45"/>
      <c r="E957" s="45"/>
      <c r="F957" s="45"/>
      <c r="G957" s="45"/>
      <c r="H957" s="44"/>
      <c r="I957" s="45"/>
      <c r="J957" s="45"/>
      <c r="K957" s="46"/>
      <c r="L957" s="47"/>
    </row>
    <row r="958">
      <c r="A958" s="53"/>
      <c r="B958" s="45"/>
      <c r="C958" s="45"/>
      <c r="D958" s="45"/>
      <c r="E958" s="45"/>
      <c r="F958" s="45"/>
      <c r="G958" s="45"/>
      <c r="H958" s="44"/>
      <c r="I958" s="45"/>
      <c r="J958" s="45"/>
      <c r="K958" s="46"/>
      <c r="L958" s="47"/>
    </row>
    <row r="959">
      <c r="A959" s="53"/>
      <c r="B959" s="45"/>
      <c r="C959" s="45"/>
      <c r="D959" s="45"/>
      <c r="E959" s="45"/>
      <c r="F959" s="45"/>
      <c r="G959" s="45"/>
      <c r="H959" s="44"/>
      <c r="I959" s="45"/>
      <c r="J959" s="45"/>
      <c r="K959" s="46"/>
      <c r="L959" s="47"/>
    </row>
    <row r="960">
      <c r="A960" s="53"/>
      <c r="B960" s="45"/>
      <c r="C960" s="45"/>
      <c r="D960" s="45"/>
      <c r="E960" s="45"/>
      <c r="F960" s="45"/>
      <c r="G960" s="45"/>
      <c r="H960" s="44"/>
      <c r="I960" s="45"/>
      <c r="J960" s="45"/>
      <c r="K960" s="46"/>
      <c r="L960" s="47"/>
    </row>
    <row r="961">
      <c r="A961" s="53"/>
      <c r="B961" s="45"/>
      <c r="C961" s="45"/>
      <c r="D961" s="45"/>
      <c r="E961" s="45"/>
      <c r="F961" s="45"/>
      <c r="G961" s="45"/>
      <c r="H961" s="44"/>
      <c r="I961" s="45"/>
      <c r="J961" s="45"/>
      <c r="K961" s="46"/>
      <c r="L961" s="47"/>
    </row>
    <row r="962">
      <c r="A962" s="53"/>
      <c r="B962" s="45"/>
      <c r="C962" s="45"/>
      <c r="D962" s="45"/>
      <c r="E962" s="45"/>
      <c r="F962" s="45"/>
      <c r="G962" s="45"/>
      <c r="H962" s="44"/>
      <c r="I962" s="45"/>
      <c r="J962" s="45"/>
      <c r="K962" s="46"/>
      <c r="L962" s="47"/>
    </row>
    <row r="963">
      <c r="A963" s="53"/>
      <c r="B963" s="45"/>
      <c r="C963" s="45"/>
      <c r="D963" s="45"/>
      <c r="E963" s="45"/>
      <c r="F963" s="45"/>
      <c r="G963" s="45"/>
      <c r="H963" s="44"/>
      <c r="I963" s="45"/>
      <c r="J963" s="45"/>
      <c r="K963" s="46"/>
      <c r="L963" s="47"/>
    </row>
    <row r="964">
      <c r="A964" s="53"/>
      <c r="B964" s="45"/>
      <c r="C964" s="45"/>
      <c r="D964" s="45"/>
      <c r="E964" s="45"/>
      <c r="F964" s="45"/>
      <c r="G964" s="45"/>
      <c r="H964" s="44"/>
      <c r="I964" s="45"/>
      <c r="J964" s="45"/>
      <c r="K964" s="46"/>
      <c r="L964" s="47"/>
    </row>
    <row r="965">
      <c r="A965" s="53"/>
      <c r="B965" s="45"/>
      <c r="C965" s="45"/>
      <c r="D965" s="45"/>
      <c r="E965" s="45"/>
      <c r="F965" s="45"/>
      <c r="G965" s="45"/>
      <c r="H965" s="44"/>
      <c r="I965" s="45"/>
      <c r="J965" s="45"/>
      <c r="K965" s="46"/>
      <c r="L965" s="47"/>
    </row>
    <row r="966">
      <c r="A966" s="53"/>
      <c r="B966" s="45"/>
      <c r="C966" s="45"/>
      <c r="D966" s="45"/>
      <c r="E966" s="45"/>
      <c r="F966" s="45"/>
      <c r="G966" s="45"/>
      <c r="H966" s="44"/>
      <c r="I966" s="45"/>
      <c r="J966" s="45"/>
      <c r="K966" s="46"/>
      <c r="L966" s="47"/>
    </row>
    <row r="967">
      <c r="A967" s="53"/>
      <c r="B967" s="45"/>
      <c r="C967" s="45"/>
      <c r="D967" s="45"/>
      <c r="E967" s="45"/>
      <c r="F967" s="45"/>
      <c r="G967" s="45"/>
      <c r="H967" s="44"/>
      <c r="I967" s="45"/>
      <c r="J967" s="45"/>
      <c r="K967" s="46"/>
      <c r="L967" s="47"/>
    </row>
    <row r="968">
      <c r="A968" s="53"/>
      <c r="B968" s="45"/>
      <c r="C968" s="45"/>
      <c r="D968" s="45"/>
      <c r="E968" s="45"/>
      <c r="F968" s="45"/>
      <c r="G968" s="45"/>
      <c r="H968" s="44"/>
      <c r="I968" s="45"/>
      <c r="J968" s="45"/>
      <c r="K968" s="46"/>
      <c r="L968" s="47"/>
    </row>
    <row r="969">
      <c r="A969" s="53"/>
      <c r="B969" s="45"/>
      <c r="C969" s="45"/>
      <c r="D969" s="45"/>
      <c r="E969" s="45"/>
      <c r="F969" s="45"/>
      <c r="G969" s="45"/>
      <c r="H969" s="44"/>
      <c r="I969" s="45"/>
      <c r="J969" s="45"/>
      <c r="K969" s="46"/>
      <c r="L969" s="47"/>
    </row>
    <row r="970">
      <c r="A970" s="53"/>
      <c r="B970" s="45"/>
      <c r="C970" s="45"/>
      <c r="D970" s="45"/>
      <c r="E970" s="45"/>
      <c r="F970" s="45"/>
      <c r="G970" s="45"/>
      <c r="H970" s="44"/>
      <c r="I970" s="45"/>
      <c r="J970" s="45"/>
      <c r="K970" s="46"/>
      <c r="L970" s="47"/>
    </row>
    <row r="971">
      <c r="A971" s="53"/>
      <c r="B971" s="45"/>
      <c r="C971" s="45"/>
      <c r="D971" s="45"/>
      <c r="E971" s="45"/>
      <c r="F971" s="45"/>
      <c r="G971" s="45"/>
      <c r="H971" s="44"/>
      <c r="I971" s="45"/>
      <c r="J971" s="45"/>
      <c r="K971" s="46"/>
      <c r="L971" s="47"/>
    </row>
    <row r="972">
      <c r="A972" s="53"/>
      <c r="B972" s="45"/>
      <c r="C972" s="45"/>
      <c r="D972" s="45"/>
      <c r="E972" s="45"/>
      <c r="F972" s="45"/>
      <c r="G972" s="45"/>
      <c r="H972" s="44"/>
      <c r="I972" s="45"/>
      <c r="J972" s="45"/>
      <c r="K972" s="46"/>
      <c r="L972" s="47"/>
    </row>
    <row r="973">
      <c r="A973" s="53"/>
      <c r="B973" s="45"/>
      <c r="C973" s="45"/>
      <c r="D973" s="45"/>
      <c r="E973" s="45"/>
      <c r="F973" s="45"/>
      <c r="G973" s="45"/>
      <c r="H973" s="44"/>
      <c r="I973" s="45"/>
      <c r="J973" s="45"/>
      <c r="K973" s="46"/>
      <c r="L973" s="47"/>
    </row>
    <row r="974">
      <c r="A974" s="53"/>
      <c r="B974" s="45"/>
      <c r="C974" s="45"/>
      <c r="D974" s="45"/>
      <c r="E974" s="45"/>
      <c r="F974" s="45"/>
      <c r="G974" s="45"/>
      <c r="H974" s="44"/>
      <c r="I974" s="45"/>
      <c r="J974" s="45"/>
      <c r="K974" s="46"/>
      <c r="L974" s="47"/>
    </row>
    <row r="975">
      <c r="A975" s="53"/>
      <c r="B975" s="45"/>
      <c r="C975" s="45"/>
      <c r="D975" s="45"/>
      <c r="E975" s="45"/>
      <c r="F975" s="45"/>
      <c r="G975" s="45"/>
      <c r="H975" s="44"/>
      <c r="I975" s="45"/>
      <c r="J975" s="45"/>
      <c r="K975" s="46"/>
      <c r="L975" s="47"/>
    </row>
    <row r="976">
      <c r="A976" s="53"/>
      <c r="B976" s="45"/>
      <c r="C976" s="45"/>
      <c r="D976" s="45"/>
      <c r="E976" s="45"/>
      <c r="F976" s="45"/>
      <c r="G976" s="45"/>
      <c r="H976" s="44"/>
      <c r="I976" s="45"/>
      <c r="J976" s="45"/>
      <c r="K976" s="46"/>
      <c r="L976" s="47"/>
    </row>
    <row r="977">
      <c r="A977" s="53"/>
      <c r="B977" s="45"/>
      <c r="C977" s="45"/>
      <c r="D977" s="45"/>
      <c r="E977" s="45"/>
      <c r="F977" s="45"/>
      <c r="G977" s="45"/>
      <c r="H977" s="44"/>
      <c r="I977" s="45"/>
      <c r="J977" s="45"/>
      <c r="K977" s="46"/>
      <c r="L977" s="47"/>
    </row>
    <row r="978">
      <c r="A978" s="53"/>
      <c r="B978" s="45"/>
      <c r="C978" s="45"/>
      <c r="D978" s="45"/>
      <c r="E978" s="45"/>
      <c r="F978" s="45"/>
      <c r="G978" s="45"/>
      <c r="H978" s="44"/>
      <c r="I978" s="45"/>
      <c r="J978" s="45"/>
      <c r="K978" s="46"/>
      <c r="L978" s="47"/>
    </row>
    <row r="979">
      <c r="A979" s="53"/>
      <c r="B979" s="45"/>
      <c r="C979" s="45"/>
      <c r="D979" s="45"/>
      <c r="E979" s="45"/>
      <c r="F979" s="45"/>
      <c r="G979" s="45"/>
      <c r="H979" s="44"/>
      <c r="I979" s="45"/>
      <c r="J979" s="45"/>
      <c r="K979" s="46"/>
      <c r="L979" s="47"/>
    </row>
    <row r="980">
      <c r="A980" s="53"/>
      <c r="B980" s="45"/>
      <c r="C980" s="45"/>
      <c r="D980" s="45"/>
      <c r="E980" s="45"/>
      <c r="F980" s="45"/>
      <c r="G980" s="45"/>
      <c r="H980" s="44"/>
      <c r="I980" s="45"/>
      <c r="J980" s="45"/>
      <c r="K980" s="46"/>
      <c r="L980" s="47"/>
    </row>
    <row r="981">
      <c r="A981" s="53"/>
      <c r="B981" s="45"/>
      <c r="C981" s="45"/>
      <c r="D981" s="45"/>
      <c r="E981" s="45"/>
      <c r="F981" s="45"/>
      <c r="G981" s="45"/>
      <c r="H981" s="44"/>
      <c r="I981" s="45"/>
      <c r="J981" s="45"/>
      <c r="K981" s="46"/>
      <c r="L981" s="47"/>
    </row>
    <row r="982">
      <c r="A982" s="53"/>
      <c r="B982" s="45"/>
      <c r="C982" s="45"/>
      <c r="D982" s="45"/>
      <c r="E982" s="45"/>
      <c r="F982" s="45"/>
      <c r="G982" s="45"/>
      <c r="H982" s="44"/>
      <c r="I982" s="45"/>
      <c r="J982" s="45"/>
      <c r="K982" s="46"/>
      <c r="L982" s="47"/>
    </row>
    <row r="983">
      <c r="A983" s="53"/>
      <c r="B983" s="45"/>
      <c r="C983" s="45"/>
      <c r="D983" s="45"/>
      <c r="E983" s="45"/>
      <c r="F983" s="45"/>
      <c r="G983" s="45"/>
      <c r="H983" s="44"/>
      <c r="I983" s="45"/>
      <c r="J983" s="45"/>
      <c r="K983" s="46"/>
      <c r="L983" s="47"/>
    </row>
    <row r="984">
      <c r="A984" s="53"/>
      <c r="B984" s="45"/>
      <c r="C984" s="45"/>
      <c r="D984" s="45"/>
      <c r="E984" s="45"/>
      <c r="F984" s="45"/>
      <c r="G984" s="45"/>
      <c r="H984" s="44"/>
      <c r="I984" s="45"/>
      <c r="J984" s="45"/>
      <c r="K984" s="46"/>
      <c r="L984" s="47"/>
    </row>
    <row r="985">
      <c r="A985" s="53"/>
      <c r="B985" s="45"/>
      <c r="C985" s="45"/>
      <c r="D985" s="45"/>
      <c r="E985" s="45"/>
      <c r="F985" s="45"/>
      <c r="G985" s="45"/>
      <c r="H985" s="44"/>
      <c r="I985" s="45"/>
      <c r="J985" s="45"/>
      <c r="K985" s="46"/>
      <c r="L985" s="47"/>
    </row>
    <row r="986">
      <c r="A986" s="53"/>
      <c r="B986" s="45"/>
      <c r="C986" s="45"/>
      <c r="D986" s="45"/>
      <c r="E986" s="45"/>
      <c r="F986" s="45"/>
      <c r="G986" s="45"/>
      <c r="H986" s="44"/>
      <c r="I986" s="45"/>
      <c r="J986" s="45"/>
      <c r="K986" s="46"/>
      <c r="L986" s="47"/>
    </row>
    <row r="987">
      <c r="A987" s="53"/>
      <c r="B987" s="45"/>
      <c r="C987" s="45"/>
      <c r="D987" s="45"/>
      <c r="E987" s="45"/>
      <c r="F987" s="45"/>
      <c r="G987" s="45"/>
      <c r="H987" s="44"/>
      <c r="I987" s="45"/>
      <c r="J987" s="45"/>
      <c r="K987" s="46"/>
      <c r="L987" s="47"/>
    </row>
    <row r="988">
      <c r="A988" s="53"/>
      <c r="B988" s="45"/>
      <c r="C988" s="45"/>
      <c r="D988" s="45"/>
      <c r="E988" s="45"/>
      <c r="F988" s="45"/>
      <c r="G988" s="45"/>
      <c r="H988" s="44"/>
      <c r="I988" s="45"/>
      <c r="J988" s="45"/>
      <c r="K988" s="46"/>
      <c r="L988" s="47"/>
    </row>
    <row r="989">
      <c r="A989" s="53"/>
      <c r="B989" s="45"/>
      <c r="C989" s="45"/>
      <c r="D989" s="45"/>
      <c r="E989" s="45"/>
      <c r="F989" s="45"/>
      <c r="G989" s="45"/>
      <c r="H989" s="44"/>
      <c r="I989" s="45"/>
      <c r="J989" s="45"/>
      <c r="K989" s="46"/>
      <c r="L989" s="47"/>
    </row>
    <row r="990">
      <c r="A990" s="53"/>
      <c r="B990" s="45"/>
      <c r="C990" s="45"/>
      <c r="D990" s="45"/>
      <c r="E990" s="45"/>
      <c r="F990" s="45"/>
      <c r="G990" s="45"/>
      <c r="H990" s="44"/>
      <c r="I990" s="45"/>
      <c r="J990" s="45"/>
      <c r="K990" s="46"/>
      <c r="L990" s="47"/>
    </row>
    <row r="991">
      <c r="A991" s="53"/>
      <c r="B991" s="45"/>
      <c r="C991" s="45"/>
      <c r="D991" s="45"/>
      <c r="E991" s="45"/>
      <c r="F991" s="45"/>
      <c r="G991" s="45"/>
      <c r="H991" s="44"/>
      <c r="I991" s="45"/>
      <c r="J991" s="45"/>
      <c r="K991" s="46"/>
      <c r="L991" s="47"/>
    </row>
    <row r="992">
      <c r="A992" s="53"/>
      <c r="B992" s="45"/>
      <c r="C992" s="45"/>
      <c r="D992" s="45"/>
      <c r="E992" s="45"/>
      <c r="F992" s="45"/>
      <c r="G992" s="45"/>
      <c r="H992" s="44"/>
      <c r="I992" s="45"/>
      <c r="J992" s="45"/>
      <c r="K992" s="46"/>
      <c r="L992" s="47"/>
    </row>
    <row r="993">
      <c r="A993" s="53"/>
      <c r="B993" s="45"/>
      <c r="C993" s="45"/>
      <c r="D993" s="45"/>
      <c r="E993" s="45"/>
      <c r="F993" s="45"/>
      <c r="G993" s="45"/>
      <c r="H993" s="44"/>
      <c r="I993" s="45"/>
      <c r="J993" s="45"/>
      <c r="K993" s="46"/>
      <c r="L993" s="47"/>
    </row>
    <row r="994">
      <c r="A994" s="53"/>
      <c r="B994" s="45"/>
      <c r="C994" s="45"/>
      <c r="D994" s="45"/>
      <c r="E994" s="45"/>
      <c r="F994" s="45"/>
      <c r="G994" s="45"/>
      <c r="H994" s="44"/>
      <c r="I994" s="45"/>
      <c r="J994" s="45"/>
      <c r="K994" s="46"/>
      <c r="L994" s="47"/>
    </row>
    <row r="995">
      <c r="A995" s="53"/>
      <c r="B995" s="45"/>
      <c r="C995" s="45"/>
      <c r="D995" s="45"/>
      <c r="E995" s="45"/>
      <c r="F995" s="45"/>
      <c r="G995" s="45"/>
      <c r="H995" s="44"/>
      <c r="I995" s="45"/>
      <c r="J995" s="45"/>
      <c r="K995" s="46"/>
      <c r="L995" s="47"/>
    </row>
    <row r="996">
      <c r="A996" s="53"/>
      <c r="B996" s="45"/>
      <c r="C996" s="45"/>
      <c r="D996" s="45"/>
      <c r="E996" s="45"/>
      <c r="F996" s="45"/>
      <c r="G996" s="45"/>
      <c r="H996" s="44"/>
      <c r="I996" s="45"/>
      <c r="J996" s="45"/>
      <c r="K996" s="46"/>
      <c r="L996" s="47"/>
    </row>
    <row r="997">
      <c r="A997" s="53"/>
      <c r="B997" s="45"/>
      <c r="C997" s="45"/>
      <c r="D997" s="45"/>
      <c r="E997" s="45"/>
      <c r="F997" s="45"/>
      <c r="G997" s="45"/>
      <c r="H997" s="44"/>
      <c r="I997" s="45"/>
      <c r="J997" s="45"/>
      <c r="K997" s="46"/>
      <c r="L997" s="47"/>
    </row>
    <row r="998">
      <c r="A998" s="53"/>
      <c r="B998" s="45"/>
      <c r="C998" s="45"/>
      <c r="D998" s="45"/>
      <c r="E998" s="45"/>
      <c r="F998" s="45"/>
      <c r="G998" s="45"/>
      <c r="H998" s="44"/>
      <c r="I998" s="45"/>
      <c r="J998" s="45"/>
      <c r="K998" s="46"/>
      <c r="L998" s="47"/>
    </row>
    <row r="999">
      <c r="A999" s="53"/>
      <c r="B999" s="45"/>
      <c r="C999" s="45"/>
      <c r="D999" s="45"/>
      <c r="E999" s="45"/>
      <c r="F999" s="45"/>
      <c r="G999" s="45"/>
      <c r="H999" s="44"/>
      <c r="I999" s="45"/>
      <c r="J999" s="45"/>
      <c r="K999" s="46"/>
      <c r="L999" s="47"/>
    </row>
    <row r="1000">
      <c r="A1000" s="53"/>
      <c r="B1000" s="45"/>
      <c r="C1000" s="45"/>
      <c r="D1000" s="45"/>
      <c r="E1000" s="45"/>
      <c r="F1000" s="45"/>
      <c r="G1000" s="45"/>
      <c r="H1000" s="44"/>
      <c r="I1000" s="45"/>
      <c r="J1000" s="45"/>
      <c r="K1000" s="46"/>
      <c r="L1000" s="47"/>
    </row>
    <row r="1001">
      <c r="A1001" s="53"/>
      <c r="B1001" s="45"/>
      <c r="C1001" s="45"/>
      <c r="D1001" s="45"/>
      <c r="E1001" s="45"/>
      <c r="F1001" s="45"/>
      <c r="G1001" s="45"/>
      <c r="H1001" s="44"/>
      <c r="I1001" s="45"/>
      <c r="J1001" s="45"/>
      <c r="K1001" s="46"/>
      <c r="L1001" s="47"/>
    </row>
    <row r="1002">
      <c r="A1002" s="53"/>
      <c r="B1002" s="45"/>
      <c r="C1002" s="45"/>
      <c r="D1002" s="45"/>
      <c r="E1002" s="45"/>
      <c r="F1002" s="45"/>
      <c r="G1002" s="45"/>
      <c r="H1002" s="44"/>
      <c r="I1002" s="45"/>
      <c r="J1002" s="45"/>
      <c r="K1002" s="46"/>
      <c r="L1002" s="47"/>
    </row>
    <row r="1003">
      <c r="A1003" s="53"/>
      <c r="B1003" s="45"/>
      <c r="C1003" s="45"/>
      <c r="D1003" s="45"/>
      <c r="E1003" s="45"/>
      <c r="F1003" s="45"/>
      <c r="G1003" s="45"/>
      <c r="H1003" s="44"/>
      <c r="I1003" s="45"/>
      <c r="J1003" s="45"/>
      <c r="K1003" s="46"/>
      <c r="L1003" s="47"/>
    </row>
    <row r="1004">
      <c r="A1004" s="53"/>
      <c r="B1004" s="45"/>
      <c r="C1004" s="45"/>
      <c r="D1004" s="45"/>
      <c r="E1004" s="45"/>
      <c r="F1004" s="45"/>
      <c r="G1004" s="45"/>
      <c r="H1004" s="44"/>
      <c r="I1004" s="45"/>
      <c r="J1004" s="45"/>
      <c r="K1004" s="46"/>
      <c r="L1004" s="47"/>
    </row>
    <row r="1005">
      <c r="A1005" s="53"/>
      <c r="B1005" s="45"/>
      <c r="C1005" s="45"/>
      <c r="D1005" s="45"/>
      <c r="E1005" s="45"/>
      <c r="F1005" s="45"/>
      <c r="G1005" s="45"/>
      <c r="H1005" s="44"/>
      <c r="I1005" s="45"/>
      <c r="J1005" s="45"/>
      <c r="K1005" s="46"/>
      <c r="L1005" s="47"/>
    </row>
    <row r="1006">
      <c r="A1006" s="53"/>
      <c r="B1006" s="45"/>
      <c r="C1006" s="45"/>
      <c r="D1006" s="45"/>
      <c r="E1006" s="45"/>
      <c r="F1006" s="45"/>
      <c r="G1006" s="45"/>
      <c r="H1006" s="44"/>
      <c r="I1006" s="45"/>
      <c r="J1006" s="45"/>
      <c r="K1006" s="46"/>
      <c r="L1006" s="47"/>
    </row>
    <row r="1007">
      <c r="A1007" s="53"/>
      <c r="B1007" s="45"/>
      <c r="C1007" s="45"/>
      <c r="D1007" s="45"/>
      <c r="E1007" s="45"/>
      <c r="F1007" s="45"/>
      <c r="G1007" s="45"/>
      <c r="H1007" s="44"/>
      <c r="I1007" s="45"/>
      <c r="J1007" s="45"/>
      <c r="K1007" s="46"/>
      <c r="L1007" s="47"/>
    </row>
    <row r="1008">
      <c r="A1008" s="53"/>
      <c r="B1008" s="45"/>
      <c r="C1008" s="45"/>
      <c r="D1008" s="45"/>
      <c r="E1008" s="45"/>
      <c r="F1008" s="45"/>
      <c r="G1008" s="45"/>
      <c r="H1008" s="44"/>
      <c r="I1008" s="45"/>
      <c r="J1008" s="45"/>
      <c r="K1008" s="46"/>
      <c r="L1008" s="47"/>
    </row>
    <row r="1009">
      <c r="A1009" s="53"/>
      <c r="B1009" s="45"/>
      <c r="C1009" s="45"/>
      <c r="D1009" s="45"/>
      <c r="E1009" s="45"/>
      <c r="F1009" s="45"/>
      <c r="G1009" s="45"/>
      <c r="H1009" s="44"/>
      <c r="I1009" s="45"/>
      <c r="J1009" s="45"/>
      <c r="K1009" s="46"/>
      <c r="L1009" s="47"/>
    </row>
    <row r="1010">
      <c r="A1010" s="53"/>
      <c r="B1010" s="45"/>
      <c r="C1010" s="45"/>
      <c r="D1010" s="45"/>
      <c r="E1010" s="45"/>
      <c r="F1010" s="45"/>
      <c r="G1010" s="45"/>
      <c r="H1010" s="44"/>
      <c r="I1010" s="45"/>
      <c r="J1010" s="45"/>
      <c r="K1010" s="46"/>
      <c r="L1010" s="47"/>
    </row>
    <row r="1011">
      <c r="A1011" s="53"/>
      <c r="B1011" s="45"/>
      <c r="C1011" s="45"/>
      <c r="D1011" s="45"/>
      <c r="E1011" s="45"/>
      <c r="F1011" s="45"/>
      <c r="G1011" s="45"/>
      <c r="H1011" s="44"/>
      <c r="I1011" s="45"/>
      <c r="J1011" s="45"/>
      <c r="K1011" s="46"/>
      <c r="L1011" s="47"/>
    </row>
    <row r="1012">
      <c r="A1012" s="53"/>
      <c r="B1012" s="45"/>
      <c r="C1012" s="45"/>
      <c r="D1012" s="45"/>
      <c r="E1012" s="45"/>
      <c r="F1012" s="45"/>
      <c r="G1012" s="45"/>
      <c r="H1012" s="44"/>
      <c r="I1012" s="45"/>
      <c r="J1012" s="45"/>
      <c r="K1012" s="46"/>
      <c r="L1012" s="47"/>
    </row>
    <row r="1013">
      <c r="A1013" s="53"/>
      <c r="B1013" s="45"/>
      <c r="C1013" s="45"/>
      <c r="D1013" s="45"/>
      <c r="E1013" s="45"/>
      <c r="F1013" s="45"/>
      <c r="G1013" s="45"/>
      <c r="H1013" s="44"/>
      <c r="I1013" s="45"/>
      <c r="J1013" s="45"/>
      <c r="K1013" s="46"/>
      <c r="L1013" s="47"/>
    </row>
    <row r="1014">
      <c r="A1014" s="53"/>
      <c r="B1014" s="45"/>
      <c r="C1014" s="45"/>
      <c r="D1014" s="45"/>
      <c r="E1014" s="45"/>
      <c r="F1014" s="45"/>
      <c r="G1014" s="45"/>
      <c r="H1014" s="44"/>
      <c r="I1014" s="45"/>
      <c r="J1014" s="45"/>
      <c r="K1014" s="46"/>
      <c r="L1014" s="47"/>
    </row>
    <row r="1015">
      <c r="A1015" s="53"/>
      <c r="B1015" s="45"/>
      <c r="C1015" s="45"/>
      <c r="D1015" s="45"/>
      <c r="E1015" s="45"/>
      <c r="F1015" s="45"/>
      <c r="G1015" s="45"/>
      <c r="H1015" s="44"/>
      <c r="I1015" s="45"/>
      <c r="J1015" s="45"/>
      <c r="K1015" s="46"/>
      <c r="L1015" s="47"/>
    </row>
    <row r="1016">
      <c r="A1016" s="53"/>
      <c r="B1016" s="45"/>
      <c r="C1016" s="45"/>
      <c r="D1016" s="45"/>
      <c r="E1016" s="45"/>
      <c r="F1016" s="45"/>
      <c r="G1016" s="45"/>
      <c r="H1016" s="44"/>
      <c r="I1016" s="45"/>
      <c r="J1016" s="45"/>
      <c r="K1016" s="46"/>
      <c r="L1016" s="47"/>
    </row>
    <row r="1017">
      <c r="A1017" s="53"/>
      <c r="B1017" s="45"/>
      <c r="C1017" s="45"/>
      <c r="D1017" s="45"/>
      <c r="E1017" s="45"/>
      <c r="F1017" s="45"/>
      <c r="G1017" s="45"/>
      <c r="H1017" s="44"/>
      <c r="I1017" s="45"/>
      <c r="J1017" s="45"/>
      <c r="K1017" s="46"/>
      <c r="L1017" s="47"/>
    </row>
    <row r="1018">
      <c r="A1018" s="53"/>
      <c r="B1018" s="45"/>
      <c r="C1018" s="45"/>
      <c r="D1018" s="45"/>
      <c r="E1018" s="45"/>
      <c r="F1018" s="45"/>
      <c r="G1018" s="45"/>
      <c r="H1018" s="44"/>
      <c r="I1018" s="45"/>
      <c r="J1018" s="45"/>
      <c r="K1018" s="46"/>
      <c r="L1018" s="47"/>
    </row>
    <row r="1019">
      <c r="A1019" s="53"/>
      <c r="B1019" s="45"/>
      <c r="C1019" s="45"/>
      <c r="D1019" s="45"/>
      <c r="E1019" s="45"/>
      <c r="F1019" s="45"/>
      <c r="G1019" s="45"/>
      <c r="H1019" s="44"/>
      <c r="I1019" s="45"/>
      <c r="J1019" s="45"/>
      <c r="K1019" s="46"/>
      <c r="L1019" s="47"/>
    </row>
    <row r="1020">
      <c r="A1020" s="53"/>
      <c r="B1020" s="45"/>
      <c r="C1020" s="45"/>
      <c r="D1020" s="45"/>
      <c r="E1020" s="45"/>
      <c r="F1020" s="45"/>
      <c r="G1020" s="45"/>
      <c r="H1020" s="44"/>
      <c r="I1020" s="45"/>
      <c r="J1020" s="45"/>
      <c r="K1020" s="46"/>
      <c r="L1020" s="47"/>
    </row>
    <row r="1021">
      <c r="A1021" s="53"/>
      <c r="B1021" s="45"/>
      <c r="C1021" s="45"/>
      <c r="D1021" s="45"/>
      <c r="E1021" s="45"/>
      <c r="F1021" s="45"/>
      <c r="G1021" s="45"/>
      <c r="H1021" s="44"/>
      <c r="I1021" s="45"/>
      <c r="J1021" s="45"/>
      <c r="K1021" s="46"/>
      <c r="L1021" s="47"/>
    </row>
    <row r="1022">
      <c r="A1022" s="53"/>
      <c r="B1022" s="45"/>
      <c r="C1022" s="45"/>
      <c r="D1022" s="45"/>
      <c r="E1022" s="45"/>
      <c r="F1022" s="45"/>
      <c r="G1022" s="45"/>
      <c r="H1022" s="44"/>
      <c r="I1022" s="45"/>
      <c r="J1022" s="45"/>
      <c r="K1022" s="46"/>
      <c r="L1022" s="47"/>
    </row>
    <row r="1023">
      <c r="A1023" s="53"/>
      <c r="B1023" s="45"/>
      <c r="C1023" s="45"/>
      <c r="D1023" s="45"/>
      <c r="E1023" s="45"/>
      <c r="F1023" s="45"/>
      <c r="G1023" s="45"/>
      <c r="H1023" s="44"/>
      <c r="I1023" s="45"/>
      <c r="J1023" s="45"/>
      <c r="K1023" s="46"/>
      <c r="L1023" s="47"/>
    </row>
    <row r="1024">
      <c r="A1024" s="53"/>
      <c r="B1024" s="45"/>
      <c r="C1024" s="45"/>
      <c r="D1024" s="45"/>
      <c r="E1024" s="45"/>
      <c r="F1024" s="45"/>
      <c r="G1024" s="45"/>
      <c r="H1024" s="44"/>
      <c r="I1024" s="45"/>
      <c r="J1024" s="45"/>
      <c r="K1024" s="46"/>
      <c r="L1024" s="47"/>
    </row>
    <row r="1025">
      <c r="A1025" s="53"/>
      <c r="B1025" s="45"/>
      <c r="C1025" s="45"/>
      <c r="D1025" s="45"/>
      <c r="E1025" s="45"/>
      <c r="F1025" s="45"/>
      <c r="G1025" s="45"/>
      <c r="H1025" s="44"/>
      <c r="I1025" s="45"/>
      <c r="J1025" s="45"/>
      <c r="K1025" s="46"/>
      <c r="L1025" s="47"/>
    </row>
    <row r="1026">
      <c r="A1026" s="53"/>
      <c r="B1026" s="45"/>
      <c r="C1026" s="45"/>
      <c r="D1026" s="45"/>
      <c r="E1026" s="45"/>
      <c r="F1026" s="45"/>
      <c r="G1026" s="45"/>
      <c r="H1026" s="44"/>
      <c r="I1026" s="45"/>
      <c r="J1026" s="45"/>
      <c r="K1026" s="46"/>
      <c r="L1026" s="47"/>
    </row>
    <row r="1027">
      <c r="A1027" s="53"/>
      <c r="B1027" s="45"/>
      <c r="C1027" s="45"/>
      <c r="D1027" s="45"/>
      <c r="E1027" s="45"/>
      <c r="F1027" s="45"/>
      <c r="G1027" s="45"/>
      <c r="H1027" s="44"/>
      <c r="I1027" s="45"/>
      <c r="J1027" s="45"/>
      <c r="K1027" s="46"/>
      <c r="L1027" s="47"/>
    </row>
    <row r="1028">
      <c r="A1028" s="53"/>
      <c r="B1028" s="45"/>
      <c r="C1028" s="45"/>
      <c r="D1028" s="45"/>
      <c r="E1028" s="45"/>
      <c r="F1028" s="45"/>
      <c r="G1028" s="45"/>
      <c r="H1028" s="44"/>
      <c r="I1028" s="45"/>
      <c r="J1028" s="45"/>
      <c r="K1028" s="46"/>
      <c r="L1028" s="47"/>
    </row>
    <row r="1029">
      <c r="A1029" s="53"/>
      <c r="B1029" s="45"/>
      <c r="C1029" s="45"/>
      <c r="D1029" s="45"/>
      <c r="E1029" s="45"/>
      <c r="F1029" s="45"/>
      <c r="G1029" s="45"/>
      <c r="H1029" s="44"/>
      <c r="I1029" s="45"/>
      <c r="J1029" s="45"/>
      <c r="K1029" s="46"/>
      <c r="L1029" s="47"/>
    </row>
    <row r="1030">
      <c r="A1030" s="53"/>
      <c r="B1030" s="45"/>
      <c r="C1030" s="45"/>
      <c r="D1030" s="45"/>
      <c r="E1030" s="45"/>
      <c r="F1030" s="45"/>
      <c r="G1030" s="45"/>
      <c r="H1030" s="44"/>
      <c r="I1030" s="45"/>
      <c r="J1030" s="45"/>
      <c r="K1030" s="46"/>
      <c r="L1030" s="47"/>
    </row>
    <row r="1031">
      <c r="A1031" s="53"/>
      <c r="B1031" s="45"/>
      <c r="C1031" s="45"/>
      <c r="D1031" s="45"/>
      <c r="E1031" s="45"/>
      <c r="F1031" s="45"/>
      <c r="G1031" s="45"/>
      <c r="H1031" s="44"/>
      <c r="I1031" s="45"/>
      <c r="J1031" s="45"/>
      <c r="K1031" s="46"/>
      <c r="L1031" s="47"/>
    </row>
    <row r="1032">
      <c r="A1032" s="53"/>
      <c r="B1032" s="45"/>
      <c r="C1032" s="45"/>
      <c r="D1032" s="45"/>
      <c r="E1032" s="45"/>
      <c r="F1032" s="45"/>
      <c r="G1032" s="45"/>
      <c r="H1032" s="44"/>
      <c r="I1032" s="45"/>
      <c r="J1032" s="45"/>
      <c r="K1032" s="46"/>
      <c r="L1032" s="47"/>
    </row>
    <row r="1033">
      <c r="A1033" s="53"/>
      <c r="B1033" s="45"/>
      <c r="C1033" s="45"/>
      <c r="D1033" s="45"/>
      <c r="E1033" s="45"/>
      <c r="F1033" s="45"/>
      <c r="G1033" s="45"/>
      <c r="H1033" s="44"/>
      <c r="I1033" s="45"/>
      <c r="J1033" s="45"/>
      <c r="K1033" s="46"/>
      <c r="L1033" s="47"/>
    </row>
    <row r="1034">
      <c r="A1034" s="53"/>
      <c r="B1034" s="45"/>
      <c r="C1034" s="45"/>
      <c r="D1034" s="45"/>
      <c r="E1034" s="45"/>
      <c r="F1034" s="45"/>
      <c r="G1034" s="45"/>
      <c r="H1034" s="44"/>
      <c r="I1034" s="45"/>
      <c r="J1034" s="45"/>
      <c r="K1034" s="46"/>
      <c r="L1034" s="47"/>
    </row>
    <row r="1035">
      <c r="A1035" s="53"/>
      <c r="B1035" s="45"/>
      <c r="C1035" s="45"/>
      <c r="D1035" s="45"/>
      <c r="E1035" s="45"/>
      <c r="F1035" s="45"/>
      <c r="G1035" s="45"/>
      <c r="H1035" s="44"/>
      <c r="I1035" s="45"/>
      <c r="J1035" s="45"/>
      <c r="K1035" s="46"/>
      <c r="L1035" s="47"/>
    </row>
    <row r="1036">
      <c r="A1036" s="53"/>
      <c r="B1036" s="45"/>
      <c r="C1036" s="45"/>
      <c r="D1036" s="45"/>
      <c r="E1036" s="45"/>
      <c r="F1036" s="45"/>
      <c r="G1036" s="45"/>
      <c r="H1036" s="44"/>
      <c r="I1036" s="45"/>
      <c r="J1036" s="45"/>
      <c r="K1036" s="46"/>
      <c r="L1036" s="47"/>
    </row>
    <row r="1037">
      <c r="A1037" s="53"/>
      <c r="B1037" s="45"/>
      <c r="C1037" s="45"/>
      <c r="D1037" s="45"/>
      <c r="E1037" s="45"/>
      <c r="F1037" s="45"/>
      <c r="G1037" s="45"/>
      <c r="H1037" s="44"/>
      <c r="I1037" s="45"/>
      <c r="J1037" s="45"/>
      <c r="K1037" s="46"/>
      <c r="L1037" s="47"/>
    </row>
    <row r="1038">
      <c r="A1038" s="53"/>
      <c r="B1038" s="45"/>
      <c r="C1038" s="45"/>
      <c r="D1038" s="45"/>
      <c r="E1038" s="45"/>
      <c r="F1038" s="45"/>
      <c r="G1038" s="45"/>
      <c r="H1038" s="44"/>
      <c r="I1038" s="45"/>
      <c r="J1038" s="45"/>
      <c r="K1038" s="46"/>
      <c r="L1038" s="47"/>
    </row>
    <row r="1039">
      <c r="A1039" s="53"/>
      <c r="B1039" s="45"/>
      <c r="C1039" s="45"/>
      <c r="D1039" s="45"/>
      <c r="E1039" s="45"/>
      <c r="F1039" s="45"/>
      <c r="G1039" s="45"/>
      <c r="H1039" s="44"/>
      <c r="I1039" s="45"/>
      <c r="J1039" s="45"/>
      <c r="K1039" s="46"/>
      <c r="L1039" s="47"/>
    </row>
    <row r="1040">
      <c r="A1040" s="53"/>
      <c r="B1040" s="45"/>
      <c r="C1040" s="45"/>
      <c r="D1040" s="45"/>
      <c r="E1040" s="45"/>
      <c r="F1040" s="45"/>
      <c r="G1040" s="45"/>
      <c r="H1040" s="44"/>
      <c r="I1040" s="45"/>
      <c r="J1040" s="45"/>
      <c r="K1040" s="46"/>
      <c r="L1040" s="47"/>
    </row>
    <row r="1041">
      <c r="A1041" s="53"/>
      <c r="B1041" s="45"/>
      <c r="C1041" s="45"/>
      <c r="D1041" s="45"/>
      <c r="E1041" s="45"/>
      <c r="F1041" s="45"/>
      <c r="G1041" s="45"/>
      <c r="H1041" s="44"/>
      <c r="I1041" s="45"/>
      <c r="J1041" s="45"/>
      <c r="K1041" s="46"/>
      <c r="L1041" s="47"/>
    </row>
    <row r="1042">
      <c r="A1042" s="53"/>
      <c r="B1042" s="45"/>
      <c r="C1042" s="45"/>
      <c r="D1042" s="45"/>
      <c r="E1042" s="45"/>
      <c r="F1042" s="45"/>
      <c r="G1042" s="45"/>
      <c r="H1042" s="44"/>
      <c r="I1042" s="45"/>
      <c r="J1042" s="45"/>
      <c r="K1042" s="46"/>
      <c r="L1042" s="47"/>
    </row>
    <row r="1043">
      <c r="A1043" s="53"/>
      <c r="B1043" s="45"/>
      <c r="C1043" s="45"/>
      <c r="D1043" s="45"/>
      <c r="E1043" s="45"/>
      <c r="F1043" s="45"/>
      <c r="G1043" s="45"/>
      <c r="H1043" s="44"/>
      <c r="I1043" s="45"/>
      <c r="J1043" s="45"/>
      <c r="K1043" s="46"/>
      <c r="L1043" s="47"/>
    </row>
    <row r="1044">
      <c r="A1044" s="53"/>
      <c r="B1044" s="45"/>
      <c r="C1044" s="45"/>
      <c r="D1044" s="45"/>
      <c r="E1044" s="45"/>
      <c r="F1044" s="45"/>
      <c r="G1044" s="45"/>
      <c r="H1044" s="44"/>
      <c r="I1044" s="45"/>
      <c r="J1044" s="45"/>
      <c r="K1044" s="46"/>
      <c r="L1044" s="47"/>
    </row>
    <row r="1045">
      <c r="A1045" s="53"/>
      <c r="B1045" s="45"/>
      <c r="C1045" s="45"/>
      <c r="D1045" s="45"/>
      <c r="E1045" s="45"/>
      <c r="F1045" s="45"/>
      <c r="G1045" s="45"/>
      <c r="H1045" s="44"/>
      <c r="I1045" s="45"/>
      <c r="J1045" s="45"/>
      <c r="K1045" s="46"/>
      <c r="L1045" s="47"/>
    </row>
    <row r="1046">
      <c r="A1046" s="53"/>
      <c r="B1046" s="45"/>
      <c r="C1046" s="45"/>
      <c r="D1046" s="45"/>
      <c r="E1046" s="45"/>
      <c r="F1046" s="45"/>
      <c r="G1046" s="45"/>
      <c r="H1046" s="44"/>
      <c r="I1046" s="45"/>
      <c r="J1046" s="45"/>
      <c r="K1046" s="46"/>
      <c r="L1046" s="47"/>
    </row>
    <row r="1047">
      <c r="A1047" s="53"/>
      <c r="B1047" s="45"/>
      <c r="C1047" s="45"/>
      <c r="D1047" s="45"/>
      <c r="E1047" s="45"/>
      <c r="F1047" s="45"/>
      <c r="G1047" s="45"/>
      <c r="H1047" s="44"/>
      <c r="I1047" s="45"/>
      <c r="J1047" s="45"/>
      <c r="K1047" s="46"/>
      <c r="L1047" s="47"/>
    </row>
    <row r="1048">
      <c r="A1048" s="53"/>
      <c r="B1048" s="45"/>
      <c r="C1048" s="45"/>
      <c r="D1048" s="45"/>
      <c r="E1048" s="45"/>
      <c r="F1048" s="45"/>
      <c r="G1048" s="45"/>
      <c r="H1048" s="44"/>
      <c r="I1048" s="45"/>
      <c r="J1048" s="45"/>
      <c r="K1048" s="46"/>
      <c r="L1048" s="47"/>
    </row>
    <row r="1049">
      <c r="A1049" s="53"/>
      <c r="B1049" s="45"/>
      <c r="C1049" s="45"/>
      <c r="D1049" s="45"/>
      <c r="E1049" s="45"/>
      <c r="F1049" s="45"/>
      <c r="G1049" s="45"/>
      <c r="H1049" s="44"/>
      <c r="I1049" s="45"/>
      <c r="J1049" s="45"/>
      <c r="K1049" s="46"/>
      <c r="L1049" s="47"/>
    </row>
    <row r="1050">
      <c r="A1050" s="53"/>
      <c r="B1050" s="45"/>
      <c r="C1050" s="45"/>
      <c r="D1050" s="45"/>
      <c r="E1050" s="45"/>
      <c r="F1050" s="45"/>
      <c r="G1050" s="45"/>
      <c r="H1050" s="44"/>
      <c r="I1050" s="45"/>
      <c r="J1050" s="45"/>
      <c r="K1050" s="46"/>
      <c r="L1050" s="47"/>
    </row>
    <row r="1051">
      <c r="A1051" s="53"/>
      <c r="B1051" s="45"/>
      <c r="C1051" s="45"/>
      <c r="D1051" s="45"/>
      <c r="E1051" s="45"/>
      <c r="F1051" s="45"/>
      <c r="G1051" s="45"/>
      <c r="H1051" s="44"/>
      <c r="I1051" s="45"/>
      <c r="J1051" s="45"/>
      <c r="K1051" s="46"/>
      <c r="L1051" s="47"/>
    </row>
    <row r="1052">
      <c r="A1052" s="53"/>
      <c r="B1052" s="45"/>
      <c r="C1052" s="45"/>
      <c r="D1052" s="45"/>
      <c r="E1052" s="45"/>
      <c r="F1052" s="45"/>
      <c r="G1052" s="45"/>
      <c r="H1052" s="44"/>
      <c r="I1052" s="45"/>
      <c r="J1052" s="45"/>
      <c r="K1052" s="46"/>
      <c r="L1052" s="47"/>
    </row>
    <row r="1053">
      <c r="A1053" s="53"/>
      <c r="B1053" s="45"/>
      <c r="C1053" s="45"/>
      <c r="D1053" s="45"/>
      <c r="E1053" s="45"/>
      <c r="F1053" s="45"/>
      <c r="G1053" s="45"/>
      <c r="H1053" s="44"/>
      <c r="I1053" s="45"/>
      <c r="J1053" s="45"/>
      <c r="K1053" s="46"/>
      <c r="L1053" s="47"/>
    </row>
    <row r="1054">
      <c r="A1054" s="53"/>
      <c r="B1054" s="45"/>
      <c r="C1054" s="45"/>
      <c r="D1054" s="45"/>
      <c r="E1054" s="45"/>
      <c r="F1054" s="45"/>
      <c r="G1054" s="45"/>
      <c r="H1054" s="44"/>
      <c r="I1054" s="45"/>
      <c r="J1054" s="45"/>
      <c r="K1054" s="46"/>
      <c r="L1054" s="47"/>
    </row>
    <row r="1055">
      <c r="A1055" s="53"/>
      <c r="B1055" s="45"/>
      <c r="C1055" s="45"/>
      <c r="D1055" s="45"/>
      <c r="E1055" s="45"/>
      <c r="F1055" s="45"/>
      <c r="G1055" s="45"/>
      <c r="H1055" s="44"/>
      <c r="I1055" s="45"/>
      <c r="J1055" s="45"/>
      <c r="K1055" s="46"/>
      <c r="L1055" s="47"/>
    </row>
    <row r="1056">
      <c r="A1056" s="53"/>
      <c r="B1056" s="45"/>
      <c r="C1056" s="45"/>
      <c r="D1056" s="45"/>
      <c r="E1056" s="45"/>
      <c r="F1056" s="45"/>
      <c r="G1056" s="45"/>
      <c r="H1056" s="44"/>
      <c r="I1056" s="45"/>
      <c r="J1056" s="45"/>
      <c r="K1056" s="46"/>
      <c r="L1056" s="47"/>
    </row>
    <row r="1057">
      <c r="A1057" s="53"/>
      <c r="B1057" s="45"/>
      <c r="C1057" s="45"/>
      <c r="D1057" s="45"/>
      <c r="E1057" s="45"/>
      <c r="F1057" s="45"/>
      <c r="G1057" s="45"/>
      <c r="H1057" s="44"/>
      <c r="I1057" s="45"/>
      <c r="J1057" s="45"/>
      <c r="K1057" s="46"/>
      <c r="L1057" s="47"/>
    </row>
    <row r="1058">
      <c r="A1058" s="53"/>
      <c r="B1058" s="45"/>
      <c r="C1058" s="45"/>
      <c r="D1058" s="45"/>
      <c r="E1058" s="45"/>
      <c r="F1058" s="45"/>
      <c r="G1058" s="45"/>
      <c r="H1058" s="44"/>
      <c r="I1058" s="45"/>
      <c r="J1058" s="45"/>
      <c r="K1058" s="46"/>
      <c r="L1058" s="47"/>
    </row>
    <row r="1059">
      <c r="A1059" s="53"/>
      <c r="B1059" s="45"/>
      <c r="C1059" s="45"/>
      <c r="D1059" s="45"/>
      <c r="E1059" s="45"/>
      <c r="F1059" s="45"/>
      <c r="G1059" s="45"/>
      <c r="H1059" s="44"/>
      <c r="I1059" s="45"/>
      <c r="J1059" s="45"/>
      <c r="K1059" s="46"/>
      <c r="L1059" s="47"/>
    </row>
    <row r="1060">
      <c r="A1060" s="53"/>
      <c r="B1060" s="45"/>
      <c r="C1060" s="45"/>
      <c r="D1060" s="45"/>
      <c r="E1060" s="45"/>
      <c r="F1060" s="45"/>
      <c r="G1060" s="45"/>
      <c r="H1060" s="44"/>
      <c r="I1060" s="45"/>
      <c r="J1060" s="45"/>
      <c r="K1060" s="46"/>
      <c r="L1060" s="47"/>
    </row>
    <row r="1061">
      <c r="A1061" s="53"/>
      <c r="B1061" s="45"/>
      <c r="C1061" s="45"/>
      <c r="D1061" s="45"/>
      <c r="E1061" s="45"/>
      <c r="F1061" s="45"/>
      <c r="G1061" s="45"/>
      <c r="H1061" s="44"/>
      <c r="I1061" s="45"/>
      <c r="J1061" s="45"/>
      <c r="K1061" s="46"/>
      <c r="L1061" s="47"/>
    </row>
    <row r="1062">
      <c r="A1062" s="53"/>
      <c r="B1062" s="45"/>
      <c r="C1062" s="45"/>
      <c r="D1062" s="45"/>
      <c r="E1062" s="45"/>
      <c r="F1062" s="45"/>
      <c r="G1062" s="45"/>
      <c r="H1062" s="44"/>
      <c r="I1062" s="45"/>
      <c r="J1062" s="45"/>
      <c r="K1062" s="46"/>
      <c r="L1062" s="47"/>
    </row>
    <row r="1063">
      <c r="A1063" s="53"/>
      <c r="B1063" s="45"/>
      <c r="C1063" s="45"/>
      <c r="D1063" s="45"/>
      <c r="E1063" s="45"/>
      <c r="F1063" s="45"/>
      <c r="G1063" s="45"/>
      <c r="H1063" s="44"/>
      <c r="I1063" s="45"/>
      <c r="J1063" s="45"/>
      <c r="K1063" s="46"/>
      <c r="L1063" s="47"/>
    </row>
    <row r="1064">
      <c r="A1064" s="53"/>
      <c r="B1064" s="45"/>
      <c r="C1064" s="45"/>
      <c r="D1064" s="45"/>
      <c r="E1064" s="45"/>
      <c r="F1064" s="45"/>
      <c r="G1064" s="45"/>
      <c r="H1064" s="44"/>
      <c r="I1064" s="45"/>
      <c r="J1064" s="45"/>
      <c r="K1064" s="46"/>
      <c r="L1064" s="47"/>
    </row>
    <row r="1065">
      <c r="A1065" s="53"/>
      <c r="B1065" s="45"/>
      <c r="C1065" s="45"/>
      <c r="D1065" s="45"/>
      <c r="E1065" s="45"/>
      <c r="F1065" s="45"/>
      <c r="G1065" s="45"/>
      <c r="H1065" s="44"/>
      <c r="I1065" s="45"/>
      <c r="J1065" s="45"/>
      <c r="K1065" s="46"/>
      <c r="L1065" s="47"/>
    </row>
    <row r="1066">
      <c r="A1066" s="53"/>
      <c r="B1066" s="45"/>
      <c r="C1066" s="45"/>
      <c r="D1066" s="45"/>
      <c r="E1066" s="45"/>
      <c r="F1066" s="45"/>
      <c r="G1066" s="45"/>
      <c r="H1066" s="44"/>
      <c r="I1066" s="45"/>
      <c r="J1066" s="45"/>
      <c r="K1066" s="46"/>
      <c r="L1066" s="47"/>
    </row>
    <row r="1067">
      <c r="A1067" s="53"/>
      <c r="B1067" s="45"/>
      <c r="C1067" s="45"/>
      <c r="D1067" s="45"/>
      <c r="E1067" s="45"/>
      <c r="F1067" s="45"/>
      <c r="G1067" s="45"/>
      <c r="H1067" s="44"/>
      <c r="I1067" s="45"/>
      <c r="J1067" s="45"/>
      <c r="K1067" s="46"/>
      <c r="L1067" s="47"/>
    </row>
    <row r="1068">
      <c r="A1068" s="53"/>
      <c r="B1068" s="45"/>
      <c r="C1068" s="45"/>
      <c r="D1068" s="45"/>
      <c r="E1068" s="45"/>
      <c r="F1068" s="45"/>
      <c r="G1068" s="45"/>
      <c r="H1068" s="44"/>
      <c r="I1068" s="45"/>
      <c r="J1068" s="45"/>
      <c r="K1068" s="46"/>
      <c r="L1068" s="47"/>
    </row>
    <row r="1069">
      <c r="A1069" s="53"/>
      <c r="B1069" s="45"/>
      <c r="C1069" s="45"/>
      <c r="D1069" s="45"/>
      <c r="E1069" s="45"/>
      <c r="F1069" s="45"/>
      <c r="G1069" s="45"/>
      <c r="H1069" s="44"/>
      <c r="I1069" s="45"/>
      <c r="J1069" s="45"/>
      <c r="K1069" s="46"/>
      <c r="L1069" s="47"/>
    </row>
    <row r="1070">
      <c r="A1070" s="53"/>
      <c r="B1070" s="45"/>
      <c r="C1070" s="45"/>
      <c r="D1070" s="45"/>
      <c r="E1070" s="45"/>
      <c r="F1070" s="45"/>
      <c r="G1070" s="45"/>
      <c r="H1070" s="44"/>
      <c r="I1070" s="45"/>
      <c r="J1070" s="45"/>
      <c r="K1070" s="46"/>
      <c r="L1070" s="47"/>
    </row>
    <row r="1071">
      <c r="A1071" s="53"/>
      <c r="B1071" s="45"/>
      <c r="C1071" s="45"/>
      <c r="D1071" s="45"/>
      <c r="E1071" s="45"/>
      <c r="F1071" s="45"/>
      <c r="G1071" s="45"/>
      <c r="H1071" s="44"/>
      <c r="I1071" s="45"/>
      <c r="J1071" s="45"/>
      <c r="K1071" s="46"/>
      <c r="L1071" s="47"/>
    </row>
    <row r="1072">
      <c r="A1072" s="53"/>
      <c r="B1072" s="45"/>
      <c r="C1072" s="45"/>
      <c r="D1072" s="45"/>
      <c r="E1072" s="45"/>
      <c r="F1072" s="45"/>
      <c r="G1072" s="45"/>
      <c r="H1072" s="44"/>
      <c r="I1072" s="45"/>
      <c r="J1072" s="45"/>
      <c r="K1072" s="46"/>
      <c r="L1072" s="47"/>
    </row>
    <row r="1073">
      <c r="A1073" s="53"/>
      <c r="B1073" s="45"/>
      <c r="C1073" s="45"/>
      <c r="D1073" s="45"/>
      <c r="E1073" s="45"/>
      <c r="F1073" s="45"/>
      <c r="G1073" s="45"/>
      <c r="H1073" s="44"/>
      <c r="I1073" s="45"/>
      <c r="J1073" s="45"/>
      <c r="K1073" s="46"/>
      <c r="L1073" s="47"/>
    </row>
    <row r="1074">
      <c r="A1074" s="53"/>
      <c r="B1074" s="45"/>
      <c r="C1074" s="45"/>
      <c r="D1074" s="45"/>
      <c r="E1074" s="45"/>
      <c r="F1074" s="45"/>
      <c r="G1074" s="45"/>
      <c r="H1074" s="44"/>
      <c r="I1074" s="45"/>
      <c r="J1074" s="45"/>
      <c r="K1074" s="46"/>
      <c r="L1074" s="47"/>
    </row>
    <row r="1075">
      <c r="A1075" s="53"/>
      <c r="B1075" s="45"/>
      <c r="C1075" s="45"/>
      <c r="D1075" s="45"/>
      <c r="E1075" s="45"/>
      <c r="F1075" s="45"/>
      <c r="G1075" s="45"/>
      <c r="H1075" s="44"/>
      <c r="I1075" s="45"/>
      <c r="J1075" s="45"/>
      <c r="K1075" s="46"/>
      <c r="L1075" s="47"/>
    </row>
    <row r="1076">
      <c r="A1076" s="53"/>
      <c r="B1076" s="45"/>
      <c r="C1076" s="45"/>
      <c r="D1076" s="45"/>
      <c r="E1076" s="45"/>
      <c r="F1076" s="45"/>
      <c r="G1076" s="45"/>
      <c r="H1076" s="44"/>
      <c r="I1076" s="45"/>
      <c r="J1076" s="45"/>
      <c r="K1076" s="46"/>
      <c r="L1076" s="47"/>
    </row>
    <row r="1077">
      <c r="A1077" s="53"/>
      <c r="B1077" s="45"/>
      <c r="C1077" s="45"/>
      <c r="D1077" s="45"/>
      <c r="E1077" s="45"/>
      <c r="F1077" s="45"/>
      <c r="G1077" s="45"/>
      <c r="H1077" s="44"/>
      <c r="I1077" s="45"/>
      <c r="J1077" s="45"/>
      <c r="K1077" s="46"/>
      <c r="L1077" s="47"/>
    </row>
    <row r="1078">
      <c r="A1078" s="53"/>
      <c r="B1078" s="45"/>
      <c r="C1078" s="45"/>
      <c r="D1078" s="45"/>
      <c r="E1078" s="45"/>
      <c r="F1078" s="45"/>
      <c r="G1078" s="45"/>
      <c r="H1078" s="44"/>
      <c r="I1078" s="45"/>
      <c r="J1078" s="45"/>
      <c r="K1078" s="46"/>
      <c r="L1078" s="47"/>
    </row>
    <row r="1079">
      <c r="A1079" s="53"/>
      <c r="B1079" s="45"/>
      <c r="C1079" s="45"/>
      <c r="D1079" s="45"/>
      <c r="E1079" s="45"/>
      <c r="F1079" s="45"/>
      <c r="G1079" s="45"/>
      <c r="H1079" s="44"/>
      <c r="I1079" s="45"/>
      <c r="J1079" s="45"/>
      <c r="K1079" s="46"/>
      <c r="L1079" s="47"/>
    </row>
    <row r="1080">
      <c r="A1080" s="53"/>
      <c r="B1080" s="45"/>
      <c r="C1080" s="45"/>
      <c r="D1080" s="45"/>
      <c r="E1080" s="45"/>
      <c r="F1080" s="45"/>
      <c r="G1080" s="45"/>
      <c r="H1080" s="44"/>
      <c r="I1080" s="45"/>
      <c r="J1080" s="45"/>
      <c r="K1080" s="46"/>
      <c r="L1080" s="47"/>
    </row>
    <row r="1081">
      <c r="A1081" s="53"/>
      <c r="B1081" s="45"/>
      <c r="C1081" s="45"/>
      <c r="D1081" s="45"/>
      <c r="E1081" s="45"/>
      <c r="F1081" s="45"/>
      <c r="G1081" s="45"/>
      <c r="H1081" s="44"/>
      <c r="I1081" s="45"/>
      <c r="J1081" s="45"/>
      <c r="K1081" s="46"/>
      <c r="L1081" s="47"/>
    </row>
    <row r="1082">
      <c r="A1082" s="53"/>
      <c r="B1082" s="45"/>
      <c r="C1082" s="45"/>
      <c r="D1082" s="45"/>
      <c r="E1082" s="45"/>
      <c r="F1082" s="45"/>
      <c r="G1082" s="45"/>
      <c r="H1082" s="44"/>
      <c r="I1082" s="45"/>
      <c r="J1082" s="45"/>
      <c r="K1082" s="46"/>
      <c r="L1082" s="47"/>
    </row>
    <row r="1083">
      <c r="A1083" s="53"/>
      <c r="B1083" s="45"/>
      <c r="C1083" s="45"/>
      <c r="D1083" s="45"/>
      <c r="E1083" s="45"/>
      <c r="F1083" s="45"/>
      <c r="G1083" s="45"/>
      <c r="H1083" s="44"/>
      <c r="I1083" s="45"/>
      <c r="J1083" s="45"/>
      <c r="K1083" s="46"/>
      <c r="L1083" s="47"/>
    </row>
    <row r="1084">
      <c r="A1084" s="53"/>
      <c r="B1084" s="45"/>
      <c r="C1084" s="45"/>
      <c r="D1084" s="45"/>
      <c r="E1084" s="45"/>
      <c r="F1084" s="45"/>
      <c r="G1084" s="45"/>
      <c r="H1084" s="44"/>
      <c r="I1084" s="45"/>
      <c r="J1084" s="45"/>
      <c r="K1084" s="46"/>
      <c r="L1084" s="47"/>
    </row>
    <row r="1085">
      <c r="A1085" s="53"/>
      <c r="B1085" s="45"/>
      <c r="C1085" s="45"/>
      <c r="D1085" s="45"/>
      <c r="E1085" s="45"/>
      <c r="F1085" s="45"/>
      <c r="G1085" s="45"/>
      <c r="H1085" s="44"/>
      <c r="I1085" s="45"/>
      <c r="J1085" s="45"/>
      <c r="K1085" s="46"/>
      <c r="L1085" s="47"/>
    </row>
  </sheetData>
  <dataValidations>
    <dataValidation type="custom" allowBlank="1" showDropDown="1" sqref="A2:O36 B40:O72">
      <formula1>AND(ISNUMBER(A2),(NOT(OR(NOT(ISERROR(DATEVALUE(A2))), AND(ISNUMBER(A2), LEFT(CELL("format", A2))="D")))))</formula1>
    </dataValidation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18.5"/>
    <col customWidth="1" min="3" max="3" width="12.5"/>
    <col customWidth="1" min="4" max="4" width="10.88"/>
    <col customWidth="1" min="5" max="5" width="11.88"/>
    <col customWidth="1" min="6" max="6" width="11.0"/>
    <col customWidth="1" min="7" max="7" width="11.63"/>
    <col customWidth="1" min="8" max="11" width="11.0"/>
  </cols>
  <sheetData>
    <row r="1">
      <c r="A1" s="1" t="s">
        <v>25</v>
      </c>
      <c r="B1" s="1" t="s">
        <v>26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5" t="s">
        <v>12</v>
      </c>
      <c r="I1" s="5" t="s">
        <v>27</v>
      </c>
      <c r="J1" s="5" t="s">
        <v>14</v>
      </c>
    </row>
    <row r="2">
      <c r="A2" s="29" t="s">
        <v>18</v>
      </c>
      <c r="B2" s="29" t="s">
        <v>46</v>
      </c>
      <c r="C2" s="30">
        <f>AVERAGE(Virtual[lat_mean_s])
</f>
        <v>5.091445003</v>
      </c>
      <c r="D2" s="30">
        <f>AVERAGE(Virtual[lat_p50_s])
</f>
        <v>3.225860165</v>
      </c>
      <c r="E2" s="30">
        <f>AVERAGE(Virtual[lat_p90_s])
</f>
        <v>12.00510571</v>
      </c>
      <c r="F2" s="30">
        <f>AVERAGE(Virtual[lat_p95_s])
</f>
        <v>15.16932005</v>
      </c>
      <c r="G2" s="30">
        <f>AVERAGE(Virtual[lat_p99_s])
</f>
        <v>21.65083924</v>
      </c>
      <c r="H2" s="42">
        <f>AVERAGE(Virtual[cpu_mean])
</f>
        <v>0.03706519447</v>
      </c>
      <c r="I2" s="51">
        <f>AVERAGE(Virtual[mem_used_mb])
</f>
        <v>480.086523</v>
      </c>
      <c r="J2" s="52">
        <f>AVERAGE(Virtual[heap_used_mb])
</f>
        <v>204.8866593</v>
      </c>
    </row>
    <row r="3">
      <c r="A3" s="29" t="s">
        <v>18</v>
      </c>
      <c r="B3" s="29" t="s">
        <v>47</v>
      </c>
      <c r="C3" s="30">
        <f>MEDIAN(Virtual[lat_mean_s])</f>
        <v>0.1403363235</v>
      </c>
      <c r="D3" s="30">
        <f>MEDIAN(Virtual[lat_p50_s])</f>
        <v>0.1096089505</v>
      </c>
      <c r="E3" s="30">
        <f>MEDIAN(Virtual[lat_p90_s])</f>
        <v>0.133256006</v>
      </c>
      <c r="F3" s="30">
        <f>MEDIAN(Virtual[lat_p95_s])</f>
        <v>0.189695785</v>
      </c>
      <c r="G3" s="30">
        <f>MEDIAN(Virtual[lat_p99_s])</f>
        <v>0.971795228</v>
      </c>
      <c r="H3" s="42">
        <f>MEDIAN(Virtual[cpu_mean])</f>
        <v>0.03711973592</v>
      </c>
      <c r="I3" s="37">
        <f>MEDIAN(Virtual[mem_used_mb])</f>
        <v>434.1629721</v>
      </c>
      <c r="J3" s="43">
        <f>MEDIAN(Virtual[heap_used_mb])</f>
        <v>146.0318548</v>
      </c>
    </row>
    <row r="4">
      <c r="A4" s="29" t="s">
        <v>18</v>
      </c>
      <c r="B4" s="29" t="s">
        <v>48</v>
      </c>
      <c r="C4" s="30">
        <f>MIN(Virtual[lat_mean_s])</f>
        <v>0.109934616</v>
      </c>
      <c r="D4" s="30">
        <f>MIN(Virtual[lat_p50_s])</f>
        <v>0.108061526</v>
      </c>
      <c r="E4" s="30">
        <f>MIN(Virtual[lat_p90_s])</f>
        <v>0.115950292</v>
      </c>
      <c r="F4" s="30">
        <f>MIN(Virtual[lat_p95_s])</f>
        <v>0.121063234</v>
      </c>
      <c r="G4" s="30">
        <f>MIN(Virtual[lat_p99_s])</f>
        <v>0.13652753</v>
      </c>
      <c r="H4" s="42">
        <f>MIN(Virtual[cpu_mean])</f>
        <v>0.02851822854</v>
      </c>
      <c r="I4" s="37">
        <f>MIN(Virtual[mem_used_mb])</f>
        <v>230.334739</v>
      </c>
      <c r="J4" s="43">
        <f>MIN(Virtual[heap_used_mb])</f>
        <v>49.24689303</v>
      </c>
    </row>
    <row r="5">
      <c r="A5" s="29" t="s">
        <v>18</v>
      </c>
      <c r="B5" s="29" t="s">
        <v>49</v>
      </c>
      <c r="C5" s="30">
        <f>MAX(Virtual[lat_mean_s])</f>
        <v>84.10755459</v>
      </c>
      <c r="D5" s="30">
        <f>MAX(Virtual[lat_p50_s])</f>
        <v>78.25484864</v>
      </c>
      <c r="E5" s="30">
        <f>MAX(Virtual[lat_p90_s])</f>
        <v>136.8351578</v>
      </c>
      <c r="F5" s="30">
        <f>MAX(Virtual[lat_p95_s])</f>
        <v>171.2656891</v>
      </c>
      <c r="G5" s="30">
        <f>MAX(Virtual[lat_p99_s])</f>
        <v>210.5846119</v>
      </c>
      <c r="H5" s="42">
        <f>MAX(Virtual[cpu_mean])</f>
        <v>0.0396889798</v>
      </c>
      <c r="I5" s="37">
        <f>MAX(Virtual[mem_used_mb])</f>
        <v>1294.28321</v>
      </c>
      <c r="J5" s="43">
        <f>MAX(Virtual[heap_used_mb])</f>
        <v>643.8600729</v>
      </c>
    </row>
    <row r="6">
      <c r="A6" s="29" t="s">
        <v>18</v>
      </c>
      <c r="B6" s="29" t="s">
        <v>50</v>
      </c>
      <c r="C6" s="30">
        <f> STDEV(Virtual[lat_mean_s])</f>
        <v>15.16765065</v>
      </c>
      <c r="D6" s="30">
        <f>STDEV(Virtual[lat_p50_s])</f>
        <v>12.77959657</v>
      </c>
      <c r="E6" s="30">
        <f>STDEV(Virtual[lat_p90_s])</f>
        <v>32.20456271</v>
      </c>
      <c r="F6" s="30">
        <f>STDEV(Virtual[lat_p95_s])</f>
        <v>39.54125766</v>
      </c>
      <c r="G6" s="30">
        <f>STDEV(Virtual[lat_p99_s])</f>
        <v>49.25550076</v>
      </c>
      <c r="H6" s="50">
        <f>STDEV(Virtual[cpu_mean])</f>
        <v>0.001746402011</v>
      </c>
      <c r="I6" s="51">
        <f>STDEV(Virtual[mem_used_mb])</f>
        <v>233.5030026</v>
      </c>
      <c r="J6" s="52">
        <f>STDEV(Virtual[heap_used_mb])</f>
        <v>158.8250349</v>
      </c>
    </row>
    <row r="7">
      <c r="A7" s="33" t="s">
        <v>19</v>
      </c>
      <c r="B7" s="29" t="s">
        <v>46</v>
      </c>
      <c r="C7" s="30">
        <f>AVERAGE(Tradicional[lat_mean_s])
</f>
        <v>3.187246206</v>
      </c>
      <c r="D7" s="30">
        <f>AVERAGE(Tradicional[lat_p50_s])
</f>
        <v>2.294916424</v>
      </c>
      <c r="E7" s="30">
        <f>AVERAGE(Tradicional[lat_p90_s])
</f>
        <v>7.061733125</v>
      </c>
      <c r="F7" s="30">
        <f>AVERAGE(Tradicional[lat_p95_s])
</f>
        <v>8.996724146</v>
      </c>
      <c r="G7" s="30">
        <f>AVERAGE(Tradicional[lat_p99_s])
</f>
        <v>13.66044837</v>
      </c>
      <c r="H7" s="42">
        <f>AVERAGE(Tradicional[cpu_mean])
</f>
        <v>0.08109624493</v>
      </c>
      <c r="I7" s="51">
        <f>AVERAGE(Tradicional[mem_used_mb])
</f>
        <v>511.0770885</v>
      </c>
      <c r="J7" s="52">
        <f>AVERAGE(Tradicional[heap_used_mb])
</f>
        <v>204.6250189</v>
      </c>
    </row>
    <row r="8">
      <c r="A8" s="33" t="s">
        <v>19</v>
      </c>
      <c r="B8" s="29" t="s">
        <v>47</v>
      </c>
      <c r="C8" s="30">
        <f>MEDIAN(Tradicional[lat_mean_s])</f>
        <v>0.138162403</v>
      </c>
      <c r="D8" s="30">
        <f>MEDIAN(Tradicional[lat_p50_s])</f>
        <v>0.111528446</v>
      </c>
      <c r="E8" s="30">
        <f>MEDIAN(Tradicional[lat_p90_s])</f>
        <v>0.1480563575</v>
      </c>
      <c r="F8" s="30">
        <f>MEDIAN(Tradicional[lat_p95_s])</f>
        <v>0.2336326715</v>
      </c>
      <c r="G8" s="30">
        <f>MEDIAN(Tradicional[lat_p99_s])</f>
        <v>0.687997965</v>
      </c>
      <c r="H8" s="42">
        <f>MEDIAN(Tradicional[cpu_mean])</f>
        <v>0.08276474443</v>
      </c>
      <c r="I8" s="37">
        <f>MEDIAN(Tradicional[mem_used_mb])</f>
        <v>481.7218302</v>
      </c>
      <c r="J8" s="43">
        <f>MEDIAN(Tradicional[heap_used_mb])</f>
        <v>177.6893998</v>
      </c>
    </row>
    <row r="9">
      <c r="A9" s="33" t="s">
        <v>19</v>
      </c>
      <c r="B9" s="29" t="s">
        <v>48</v>
      </c>
      <c r="C9" s="30">
        <f>MIN(Tradicional[lat_mean_s])</f>
        <v>0.111427308</v>
      </c>
      <c r="D9" s="30">
        <f>MIN(Tradicional[lat_p50_s])</f>
        <v>0.109671071</v>
      </c>
      <c r="E9" s="30">
        <f>MIN(Tradicional[lat_p90_s])</f>
        <v>0.116922711</v>
      </c>
      <c r="F9" s="30">
        <f>MIN(Tradicional[lat_p95_s])</f>
        <v>0.121303087</v>
      </c>
      <c r="G9" s="30">
        <f>MIN(Tradicional[lat_p99_s])</f>
        <v>0.136711015</v>
      </c>
      <c r="H9" s="42">
        <f>MIN(Tradicional[cpu_mean])</f>
        <v>0.03877631103</v>
      </c>
      <c r="I9" s="37">
        <f>MIN(Tradicional[mem_used_mb])</f>
        <v>231.0409304</v>
      </c>
      <c r="J9" s="43">
        <f>MIN(Tradicional[heap_used_mb])</f>
        <v>43.24678618</v>
      </c>
    </row>
    <row r="10">
      <c r="A10" s="33" t="s">
        <v>19</v>
      </c>
      <c r="B10" s="29" t="s">
        <v>49</v>
      </c>
      <c r="C10" s="30">
        <f>MAX(Tradicional[lat_mean_s])</f>
        <v>73.61217862</v>
      </c>
      <c r="D10" s="30">
        <f>MAX(Tradicional[lat_p50_s])</f>
        <v>68.79530817</v>
      </c>
      <c r="E10" s="30">
        <f>MAX(Tradicional[lat_p90_s])</f>
        <v>133.1546132</v>
      </c>
      <c r="F10" s="30">
        <f>MAX(Tradicional[lat_p95_s])</f>
        <v>166.8837762</v>
      </c>
      <c r="G10" s="30">
        <f>MAX(Tradicional[lat_p99_s])</f>
        <v>216.1980313</v>
      </c>
      <c r="H10" s="42">
        <f>MAX(Tradicional[cpu_mean])</f>
        <v>0.08993407842</v>
      </c>
      <c r="I10" s="37">
        <f>MAX(Tradicional[mem_used_mb])</f>
        <v>1057.818471</v>
      </c>
      <c r="J10" s="43">
        <f>MAX(Tradicional[heap_used_mb])</f>
        <v>498.7106685</v>
      </c>
    </row>
    <row r="11">
      <c r="A11" s="33" t="s">
        <v>19</v>
      </c>
      <c r="B11" s="29" t="s">
        <v>50</v>
      </c>
      <c r="C11" s="30">
        <f>STDEV(Tradicional[lat_mean_s])</f>
        <v>12.27729825</v>
      </c>
      <c r="D11" s="30">
        <f>STDEV(Tradicional[lat_p50_s])</f>
        <v>11.16170437</v>
      </c>
      <c r="E11" s="30">
        <f>STDEV(Tradicional[lat_p90_s])</f>
        <v>25.07007002</v>
      </c>
      <c r="F11" s="30">
        <f>STDEV(Tradicional[lat_p95_s])</f>
        <v>30.65303483</v>
      </c>
      <c r="G11" s="30">
        <f>STDEV(Tradicional[lat_p99_s])</f>
        <v>39.24317597</v>
      </c>
      <c r="H11" s="50">
        <f>STDEV(Tradicional[cpu_mean])</f>
        <v>0.007432481453</v>
      </c>
      <c r="I11" s="51">
        <f>STDEV(Tradicional[mem_used_mb])</f>
        <v>211.0297267</v>
      </c>
      <c r="J11" s="52">
        <f>STDEV(Tradicional[heap_used_mb])</f>
        <v>119.1418348</v>
      </c>
    </row>
    <row r="14">
      <c r="A14" s="1" t="s">
        <v>25</v>
      </c>
      <c r="B14" s="1" t="s">
        <v>26</v>
      </c>
      <c r="C14" s="1" t="s">
        <v>1</v>
      </c>
      <c r="D14" s="1" t="s">
        <v>2</v>
      </c>
      <c r="E14" s="1" t="s">
        <v>3</v>
      </c>
      <c r="F14" s="1" t="s">
        <v>4</v>
      </c>
      <c r="G14" s="1" t="s">
        <v>5</v>
      </c>
      <c r="H14" s="5" t="s">
        <v>12</v>
      </c>
      <c r="I14" s="5" t="s">
        <v>27</v>
      </c>
      <c r="J14" s="5" t="s">
        <v>14</v>
      </c>
    </row>
    <row r="15">
      <c r="A15" s="29" t="s">
        <v>18</v>
      </c>
      <c r="B15" s="29" t="s">
        <v>46</v>
      </c>
      <c r="C15" s="30">
        <f>AVERAGE(Virtual_Sem_Outliers[lat_mean_s_virtual])
</f>
        <v>0.1438386807</v>
      </c>
      <c r="D15" s="30">
        <f>AVERAGE(Virtual_Sem_Outliers[lat_p50_s])
</f>
        <v>0.1096301824</v>
      </c>
      <c r="E15" s="30">
        <f>AVERAGE(Virtual_Sem_Outliers[lat_p90_s])
</f>
        <v>0.1397612444</v>
      </c>
      <c r="F15" s="30">
        <f>AVERAGE(Virtual_Sem_Outliers[lat_p95_s])
</f>
        <v>0.2189195218</v>
      </c>
      <c r="G15" s="30">
        <f>AVERAGE(Virtual_Sem_Outliers[lat_p99_s])
</f>
        <v>1.059962565</v>
      </c>
      <c r="H15" s="42">
        <f>AVERAGE(Virtual_Sem_Outliers[cpu_mean])
</f>
        <v>0.03699103078</v>
      </c>
      <c r="I15" s="37">
        <f>AVERAGE(Virtual_Sem_Outliers[mem_used_mb])
</f>
        <v>410.7219854</v>
      </c>
      <c r="J15" s="52">
        <f>AVERAGE(Virtual_Sem_Outliers[heap_used_mb])
</f>
        <v>142.2355416</v>
      </c>
    </row>
    <row r="16">
      <c r="A16" s="29" t="s">
        <v>18</v>
      </c>
      <c r="B16" s="29" t="s">
        <v>47</v>
      </c>
      <c r="C16" s="30">
        <f>MEDIAN(Virtual_Sem_Outliers[lat_mean_s_virtual])</f>
        <v>0.123546462</v>
      </c>
      <c r="D16" s="30">
        <f>MEDIAN(Virtual_Sem_Outliers[lat_p50_s])</f>
        <v>0.109273525</v>
      </c>
      <c r="E16" s="30">
        <f>MEDIAN(Virtual_Sem_Outliers[lat_p90_s])</f>
        <v>0.125190161</v>
      </c>
      <c r="F16" s="30">
        <f>MEDIAN(Virtual_Sem_Outliers[lat_p95_s])</f>
        <v>0.141385531</v>
      </c>
      <c r="G16" s="30">
        <f>MEDIAN(Virtual_Sem_Outliers[lat_p99_s])</f>
        <v>0.418200096</v>
      </c>
      <c r="H16" s="42">
        <f>MEDIAN(Virtual_Sem_Outliers[cpu_mean])</f>
        <v>0.03707181112</v>
      </c>
      <c r="I16" s="37">
        <f>MEDIAN(Virtual_Sem_Outliers[mem_used_mb])</f>
        <v>403.4520876</v>
      </c>
      <c r="J16" s="52">
        <f>MEDIAN(Virtual_Sem_Outliers[heap_used_mb])</f>
        <v>98.5333007</v>
      </c>
    </row>
    <row r="17">
      <c r="A17" s="29" t="s">
        <v>18</v>
      </c>
      <c r="B17" s="29" t="s">
        <v>48</v>
      </c>
      <c r="C17" s="30">
        <f>MIN(Virtual_Sem_Outliers[lat_mean_s_virtual])</f>
        <v>0.109934616</v>
      </c>
      <c r="D17" s="30">
        <f>MIN(Virtual_Sem_Outliers[lat_p50_s])</f>
        <v>0.108068029</v>
      </c>
      <c r="E17" s="30">
        <f>MIN(Virtual_Sem_Outliers[lat_p90_s])</f>
        <v>0.115950292</v>
      </c>
      <c r="F17" s="30">
        <f>MIN(Virtual_Sem_Outliers[lat_p95_s])</f>
        <v>0.121063234</v>
      </c>
      <c r="G17" s="30">
        <f>MIN(Virtual_Sem_Outliers[lat_p99_s])</f>
        <v>0.13652753</v>
      </c>
      <c r="H17" s="42">
        <f>MIN(Virtual_Sem_Outliers[cpu_mean])</f>
        <v>0.03491061369</v>
      </c>
      <c r="I17" s="37">
        <f>MIN(Virtual_Sem_Outliers[mem_used_mb])</f>
        <v>234.694718</v>
      </c>
      <c r="J17" s="52">
        <f>MIN(Virtual_Sem_Outliers[heap_used_mb])</f>
        <v>49.24689303</v>
      </c>
    </row>
    <row r="18">
      <c r="A18" s="29" t="s">
        <v>18</v>
      </c>
      <c r="B18" s="29" t="s">
        <v>49</v>
      </c>
      <c r="C18" s="30">
        <f>MAX(Virtual_Sem_Outliers[lat_mean_s_virtual])</f>
        <v>0.341115386</v>
      </c>
      <c r="D18" s="30">
        <f>MAX(Virtual_Sem_Outliers[lat_p50_s])</f>
        <v>0.112616244</v>
      </c>
      <c r="E18" s="30">
        <f>MAX(Virtual_Sem_Outliers[lat_p90_s])</f>
        <v>0.404779251</v>
      </c>
      <c r="F18" s="30">
        <f>MAX(Virtual_Sem_Outliers[lat_p95_s])</f>
        <v>1.265734481</v>
      </c>
      <c r="G18" s="30">
        <f>MAX(Virtual_Sem_Outliers[lat_p99_s])</f>
        <v>6.043262678</v>
      </c>
      <c r="H18" s="42">
        <f>MAX(Virtual_Sem_Outliers[cpu_mean])</f>
        <v>0.03902305631</v>
      </c>
      <c r="I18" s="37">
        <f>MAX(Virtual_Sem_Outliers[mem_used_mb])</f>
        <v>733.6416878</v>
      </c>
      <c r="J18" s="52">
        <f>MAX(Virtual_Sem_Outliers[heap_used_mb])</f>
        <v>351.8267901</v>
      </c>
    </row>
    <row r="19">
      <c r="A19" s="29" t="s">
        <v>18</v>
      </c>
      <c r="B19" s="29" t="s">
        <v>50</v>
      </c>
      <c r="C19" s="30">
        <f> STDEV(Virtual_Sem_Outliers[lat_mean_s_virtual])</f>
        <v>0.05047454941</v>
      </c>
      <c r="D19" s="30">
        <f>STDEV(Virtual_Sem_Outliers[lat_p50_s])</f>
        <v>0.001150732946</v>
      </c>
      <c r="E19" s="30">
        <f>STDEV(Virtual_Sem_Outliers[lat_p90_s])</f>
        <v>0.04875926448</v>
      </c>
      <c r="F19" s="30">
        <f>STDEV(Virtual_Sem_Outliers[lat_p95_s])</f>
        <v>0.2075208419</v>
      </c>
      <c r="G19" s="30">
        <f>STDEV(Virtual_Sem_Outliers[lat_p99_s])</f>
        <v>1.441296821</v>
      </c>
      <c r="H19" s="50">
        <f>STDEV(Virtual_Sem_Outliers[cpu_mean])</f>
        <v>0.001095616116</v>
      </c>
      <c r="I19" s="51">
        <f> STDEV(Virtual_Sem_Outliers[mem_used_mb])</f>
        <v>149.3259608</v>
      </c>
      <c r="J19" s="52">
        <f>STDEV(Virtual_Sem_Outliers[heap_used_mb])</f>
        <v>86.77268591</v>
      </c>
    </row>
    <row r="20">
      <c r="A20" s="33" t="s">
        <v>19</v>
      </c>
      <c r="B20" s="29" t="s">
        <v>46</v>
      </c>
      <c r="C20" s="30">
        <f>AVERAGE(Tradicional_Sem_Outliers[lat_mean_s_tradicional])
</f>
        <v>0.1762023245</v>
      </c>
      <c r="D20" s="30">
        <f>AVERAGE(Tradicional_Sem_Outliers[lat_p50_s])
</f>
        <v>0.1118752676</v>
      </c>
      <c r="E20" s="30">
        <f>AVERAGE(Tradicional_Sem_Outliers[lat_p90_s])
</f>
        <v>0.1553318515</v>
      </c>
      <c r="F20" s="30">
        <f>AVERAGE(Tradicional_Sem_Outliers[lat_p95_s])
</f>
        <v>0.3345861299</v>
      </c>
      <c r="G20" s="30">
        <f>AVERAGE(Tradicional_Sem_Outliers[lat_p99_s])
</f>
        <v>1.943186281</v>
      </c>
      <c r="H20" s="42">
        <f>AVERAGE(Tradicional_Sem_Outliers[cpu_mean])
</f>
        <v>0.08256190463</v>
      </c>
      <c r="I20" s="51">
        <f>AVERAGE(Tradicional_Sem_Outliers[mem_used_mb])
</f>
        <v>462.2239635</v>
      </c>
      <c r="J20" s="52">
        <f>AVERAGE(Tradicional_Sem_Outliers[heap_used_mb])
</f>
        <v>179.6310899</v>
      </c>
    </row>
    <row r="21">
      <c r="A21" s="33" t="s">
        <v>19</v>
      </c>
      <c r="B21" s="29" t="s">
        <v>47</v>
      </c>
      <c r="C21" s="30">
        <f>MEDIAN(Tradicional_Sem_Outliers[lat_mean_s_tradicional])</f>
        <v>0.12811629</v>
      </c>
      <c r="D21" s="30">
        <f>MEDIAN(Tradicional_Sem_Outliers[lat_p50_s])</f>
        <v>0.111353489</v>
      </c>
      <c r="E21" s="30">
        <f>MEDIAN(Tradicional_Sem_Outliers[lat_p90_s])</f>
        <v>0.1351894</v>
      </c>
      <c r="F21" s="30">
        <f>MEDIAN(Tradicional_Sem_Outliers[lat_p95_s])</f>
        <v>0.165450612</v>
      </c>
      <c r="G21" s="30">
        <f>MEDIAN(Tradicional_Sem_Outliers[lat_p99_s])</f>
        <v>0.483198329</v>
      </c>
      <c r="H21" s="42">
        <f>MEDIAN(Tradicional_Sem_Outliers[cpu_mean])</f>
        <v>0.08279154929</v>
      </c>
      <c r="I21" s="37">
        <f>MEDIAN(Tradicional_Sem_Outliers[mem_used_mb])</f>
        <v>459.0062757</v>
      </c>
      <c r="J21" s="52">
        <f>MEDIAN(Tradicional_Sem_Outliers[heap_used_mb])</f>
        <v>175.7411963</v>
      </c>
    </row>
    <row r="22">
      <c r="A22" s="33" t="s">
        <v>19</v>
      </c>
      <c r="B22" s="29" t="s">
        <v>48</v>
      </c>
      <c r="C22" s="30">
        <f>MIN(Tradicional_Sem_Outliers[lat_mean_s_tradicional])</f>
        <v>0.111887205</v>
      </c>
      <c r="D22" s="30">
        <f>MIN(Tradicional_Sem_Outliers[lat_p50_s])</f>
        <v>0.109671071</v>
      </c>
      <c r="E22" s="30">
        <f>MIN(Tradicional_Sem_Outliers[lat_p90_s])</f>
        <v>0.117950311</v>
      </c>
      <c r="F22" s="30">
        <f>MIN(Tradicional_Sem_Outliers[lat_p95_s])</f>
        <v>0.123602219</v>
      </c>
      <c r="G22" s="30">
        <f>MIN(Tradicional_Sem_Outliers[lat_p99_s])</f>
        <v>0.140735957</v>
      </c>
      <c r="H22" s="42">
        <f>MIN(Tradicional_Sem_Outliers[cpu_mean])</f>
        <v>0.08008433924</v>
      </c>
      <c r="I22" s="37">
        <f>MIN(Tradicional_Sem_Outliers[mem_used_mb])</f>
        <v>260.1567049</v>
      </c>
      <c r="J22" s="52">
        <f>MIN(Tradicional_Sem_Outliers[heap_used_mb])</f>
        <v>60.22883704</v>
      </c>
    </row>
    <row r="23">
      <c r="A23" s="33" t="s">
        <v>19</v>
      </c>
      <c r="B23" s="29" t="s">
        <v>49</v>
      </c>
      <c r="C23" s="30">
        <f>MAX(Tradicional_Sem_Outliers[lat_mean_s_tradicional])</f>
        <v>0.422781024</v>
      </c>
      <c r="D23" s="30">
        <f>MAX(Tradicional_Sem_Outliers[lat_p50_s])</f>
        <v>0.118623473</v>
      </c>
      <c r="E23" s="30">
        <f>MAX(Tradicional_Sem_Outliers[lat_p90_s])</f>
        <v>0.408805872</v>
      </c>
      <c r="F23" s="30">
        <f>MAX(Tradicional_Sem_Outliers[lat_p95_s])</f>
        <v>1.236280076</v>
      </c>
      <c r="G23" s="30">
        <f>MAX(Tradicional_Sem_Outliers[lat_p99_s])</f>
        <v>10.09543951</v>
      </c>
      <c r="H23" s="42">
        <f>MAX(Tradicional_Sem_Outliers[cpu_mean])</f>
        <v>0.08391430482</v>
      </c>
      <c r="I23" s="37">
        <f>MAX(Tradicional_Sem_Outliers[mem_used_mb])</f>
        <v>687.9078604</v>
      </c>
      <c r="J23" s="52">
        <f>MAX(Tradicional_Sem_Outliers[heap_used_mb])</f>
        <v>311.7787777</v>
      </c>
    </row>
    <row r="24">
      <c r="A24" s="33" t="s">
        <v>19</v>
      </c>
      <c r="B24" s="29" t="s">
        <v>50</v>
      </c>
      <c r="C24" s="30">
        <f>STDEV(Tradicional_Sem_Outliers[lat_mean_s_tradicional])</f>
        <v>0.08746009539</v>
      </c>
      <c r="D24" s="30">
        <f>STDEV(Tradicional_Sem_Outliers[lat_p50_s])</f>
        <v>0.001894936384</v>
      </c>
      <c r="E24" s="30">
        <f>STDEV(Tradicional_Sem_Outliers[lat_p90_s])</f>
        <v>0.05386754733</v>
      </c>
      <c r="F24" s="30">
        <f>STDEV(Tradicional_Sem_Outliers[lat_p95_s])</f>
        <v>0.3169422327</v>
      </c>
      <c r="G24" s="30">
        <f>STDEV(Tradicional_Sem_Outliers[lat_p99_s])</f>
        <v>2.797218285</v>
      </c>
      <c r="H24" s="50">
        <f>STDEV(Tradicional_Sem_Outliers[cpu_mean])</f>
        <v>0.0009549734255</v>
      </c>
      <c r="I24" s="51">
        <f>STDEV(Tradicional_Sem_Outliers[mem_used_mb])</f>
        <v>124.5378866</v>
      </c>
      <c r="J24" s="52">
        <f>STDEV(Tradicional_Sem_Outliers[heap_used_mb])</f>
        <v>73.73162566</v>
      </c>
    </row>
  </sheetData>
  <dataValidations>
    <dataValidation type="custom" allowBlank="1" showDropDown="1" sqref="C2:J11 C15:J24">
      <formula1>AND(ISNUMBER(C2),(NOT(OR(NOT(ISERROR(DATEVALUE(C2))), AND(ISNUMBER(C2), LEFT(CELL("format", C2))="D")))))</formula1>
    </dataValidation>
  </dataValidations>
  <drawing r:id="rId1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13.63"/>
    <col customWidth="1" min="3" max="3" width="16.88"/>
    <col customWidth="1" min="4" max="4" width="19.25"/>
  </cols>
  <sheetData>
    <row r="1">
      <c r="A1" s="1" t="s">
        <v>26</v>
      </c>
      <c r="B1" s="1" t="s">
        <v>18</v>
      </c>
      <c r="C1" s="1" t="s">
        <v>19</v>
      </c>
      <c r="D1" s="1" t="s">
        <v>51</v>
      </c>
    </row>
    <row r="2">
      <c r="A2" s="29" t="s">
        <v>52</v>
      </c>
      <c r="B2" s="37">
        <f>Estatisticas!C15</f>
        <v>0.1438386807</v>
      </c>
      <c r="C2" s="37">
        <f>Estatisticas!C20</f>
        <v>0.1762023245</v>
      </c>
      <c r="D2" s="43">
        <f t="shared" ref="D2:D7" si="1">C2/B2</f>
        <v>1.224999588</v>
      </c>
    </row>
    <row r="3">
      <c r="A3" s="29" t="s">
        <v>53</v>
      </c>
      <c r="B3" s="37">
        <f>Estatisticas!H15</f>
        <v>0.03699103078</v>
      </c>
      <c r="C3" s="37">
        <f>Estatisticas!H20</f>
        <v>0.08256190463</v>
      </c>
      <c r="D3" s="43">
        <f t="shared" si="1"/>
        <v>2.231943876</v>
      </c>
    </row>
    <row r="4">
      <c r="A4" s="29" t="s">
        <v>54</v>
      </c>
      <c r="B4" s="37">
        <f>Estatisticas!I15</f>
        <v>410.7219854</v>
      </c>
      <c r="C4" s="37">
        <f>Estatisticas!I20</f>
        <v>462.2239635</v>
      </c>
      <c r="D4" s="43">
        <f t="shared" si="1"/>
        <v>1.12539377</v>
      </c>
    </row>
    <row r="5">
      <c r="A5" s="29" t="s">
        <v>55</v>
      </c>
      <c r="B5" s="37">
        <f>Estatisticas!J15</f>
        <v>142.2355416</v>
      </c>
      <c r="C5" s="37">
        <f>Estatisticas!J20</f>
        <v>179.6310899</v>
      </c>
      <c r="D5" s="43">
        <f t="shared" si="1"/>
        <v>1.262912827</v>
      </c>
    </row>
    <row r="6">
      <c r="A6" s="29" t="s">
        <v>56</v>
      </c>
      <c r="B6" s="37">
        <f>Performance!D7</f>
        <v>0.9999345714</v>
      </c>
      <c r="C6" s="37">
        <f>Performance!E7</f>
        <v>0.9998060606</v>
      </c>
      <c r="D6" s="43">
        <f t="shared" si="1"/>
        <v>0.9998714808</v>
      </c>
    </row>
    <row r="7">
      <c r="A7" s="29" t="s">
        <v>57</v>
      </c>
      <c r="B7" s="37">
        <f>Performance!D2</f>
        <v>999.4715723</v>
      </c>
      <c r="C7" s="37">
        <f>Performance!E2</f>
        <v>998.6408506</v>
      </c>
      <c r="D7" s="43">
        <f t="shared" si="1"/>
        <v>0.9991688391</v>
      </c>
    </row>
  </sheetData>
  <dataValidations>
    <dataValidation type="custom" allowBlank="1" showDropDown="1" sqref="B2:D7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5"/>
    <col customWidth="1" min="2" max="2" width="16.88"/>
    <col customWidth="1" min="3" max="3" width="21.0"/>
    <col customWidth="1" min="4" max="4" width="24.5"/>
    <col customWidth="1" min="5" max="5" width="27.88"/>
  </cols>
  <sheetData>
    <row r="1" ht="21.75" customHeight="1">
      <c r="A1" s="1" t="s">
        <v>58</v>
      </c>
      <c r="B1" s="1" t="s">
        <v>18</v>
      </c>
      <c r="C1" s="1" t="s">
        <v>19</v>
      </c>
      <c r="D1" s="5" t="s">
        <v>59</v>
      </c>
      <c r="E1" s="1" t="s">
        <v>60</v>
      </c>
    </row>
    <row r="2">
      <c r="A2" s="29" t="s">
        <v>57</v>
      </c>
      <c r="B2" s="37">
        <f>AVERAGE(Virtual[throughput])</f>
        <v>948.058361</v>
      </c>
      <c r="C2" s="30">
        <f>AVERAGE(Tradicional[throughput])</f>
        <v>966.148374</v>
      </c>
      <c r="D2" s="30">
        <f>AVERAGE(Virtual_Sem_Outliers[throughput])</f>
        <v>999.4715723</v>
      </c>
      <c r="E2" s="30">
        <f>AVERAGE(Tradicional_Sem_Outliers[throughput])</f>
        <v>998.6408506</v>
      </c>
    </row>
    <row r="3">
      <c r="A3" s="29" t="s">
        <v>61</v>
      </c>
      <c r="B3" s="37">
        <f>AVERAGE(Virtual[rate])</f>
        <v>999.7511886</v>
      </c>
      <c r="C3" s="30">
        <f>AVERAGE(Tradicional[rate])</f>
        <v>999.995284</v>
      </c>
      <c r="D3" s="30">
        <f>AVERAGE(Virtual_Sem_Outliers[rate])</f>
        <v>1000.00109</v>
      </c>
      <c r="E3" s="30">
        <f>AVERAGE(Tradicional_Sem_Outliers[rate])</f>
        <v>1000.001062</v>
      </c>
    </row>
    <row r="4">
      <c r="A4" s="29" t="s">
        <v>62</v>
      </c>
      <c r="B4" s="37">
        <f>SUM(Virtual[requests])</f>
        <v>29995912</v>
      </c>
      <c r="C4" s="39">
        <f>SUM(Tradicional[requests])</f>
        <v>29999955</v>
      </c>
      <c r="D4" s="39">
        <f>SUM(Virtual_Sem_Outliers[requests])</f>
        <v>20999997</v>
      </c>
      <c r="E4" s="39">
        <f>SUM(Tradicional_Sem_Outliers[requests])</f>
        <v>19799998</v>
      </c>
    </row>
    <row r="5">
      <c r="A5" s="29" t="s">
        <v>63</v>
      </c>
      <c r="B5" s="37">
        <f>AVERAGE(Virtual[lat_mean_s])</f>
        <v>5.091445003</v>
      </c>
      <c r="C5" s="30">
        <f>AVERAGE(Tradicional[lat_mean_s])</f>
        <v>3.187246206</v>
      </c>
      <c r="D5" s="30">
        <f>AVERAGE(Virtual_Sem_Outliers[lat_mean_s_virtual])</f>
        <v>0.1438386807</v>
      </c>
      <c r="E5" s="30">
        <f>AVERAGE(Tradicional_Sem_Outliers[lat_mean_s_tradicional])</f>
        <v>0.1762023245</v>
      </c>
    </row>
    <row r="6">
      <c r="A6" s="29" t="s">
        <v>64</v>
      </c>
      <c r="B6" s="37">
        <f>MAX(Virtual[lat_max_s])</f>
        <v>313.8572896</v>
      </c>
      <c r="C6" s="30">
        <f>MAX(Tradicional[lat_max_s])</f>
        <v>344.9320533</v>
      </c>
      <c r="D6" s="30">
        <f>MAX(Virtual_Sem_Outliers[lat_max_s])</f>
        <v>40.14869046</v>
      </c>
      <c r="E6" s="30">
        <f>MAX(Tradicional_Sem_Outliers[lat_max_s])</f>
        <v>70.00120063</v>
      </c>
    </row>
    <row r="7">
      <c r="A7" s="29" t="s">
        <v>65</v>
      </c>
      <c r="B7" s="37">
        <f>AVERAGE(Virtual[success])</f>
        <v>0.9525804241</v>
      </c>
      <c r="C7" s="54">
        <f>AVERAGE(Tradicional[success])</f>
        <v>0.9689669723</v>
      </c>
      <c r="D7" s="54">
        <f>AVERAGE(Virtual_Sem_Outliers[success])</f>
        <v>0.9999345714</v>
      </c>
      <c r="E7" s="54">
        <f>AVERAGE(Tradicional_Sem_Outliers[success])</f>
        <v>0.9998060606</v>
      </c>
    </row>
    <row r="8">
      <c r="A8" s="33" t="s">
        <v>66</v>
      </c>
      <c r="B8" s="51">
        <f>AVERAGE(Virtual[lat_p50_s])</f>
        <v>3.225860165</v>
      </c>
      <c r="C8" s="51">
        <f>AVERAGE(Tradicional[lat_p50_s])</f>
        <v>2.294916424</v>
      </c>
      <c r="D8" s="51">
        <f>AVERAGE(Virtual_Sem_Outliers[lat_p50_s])</f>
        <v>0.1096301824</v>
      </c>
      <c r="E8" s="51">
        <f>AVERAGE(Tradicional_Sem_Outliers[lat_p50_s])</f>
        <v>0.1118752676</v>
      </c>
    </row>
    <row r="9">
      <c r="A9" s="33" t="s">
        <v>67</v>
      </c>
      <c r="B9" s="51">
        <f>AVERAGE(Virtual[lat_p90_s])</f>
        <v>12.00510571</v>
      </c>
      <c r="C9" s="51">
        <f>AVERAGE(Tradicional[lat_p90_s])</f>
        <v>7.061733125</v>
      </c>
      <c r="D9" s="51">
        <f>AVERAGE(Virtual_Sem_Outliers[lat_p90_s])</f>
        <v>0.1397612444</v>
      </c>
      <c r="E9" s="51">
        <f>AVERAGE(Tradicional_Sem_Outliers[lat_p90_s])</f>
        <v>0.1553318515</v>
      </c>
    </row>
    <row r="10">
      <c r="A10" s="33" t="s">
        <v>68</v>
      </c>
      <c r="B10" s="51">
        <f>AVERAGE(Virtual[lat_p95_s])</f>
        <v>15.16932005</v>
      </c>
      <c r="C10" s="51">
        <f>AVERAGE(Tradicional[lat_p95_s])</f>
        <v>8.996724146</v>
      </c>
      <c r="D10" s="51">
        <f>AVERAGE(Virtual_Sem_Outliers[lat_p95_s])</f>
        <v>0.2189195218</v>
      </c>
      <c r="E10" s="51">
        <f>AVERAGE(Tradicional_Sem_Outliers[lat_p95_s])</f>
        <v>0.3345861299</v>
      </c>
    </row>
    <row r="11">
      <c r="A11" s="33" t="s">
        <v>69</v>
      </c>
      <c r="B11" s="51">
        <f>AVERAGE(Virtual[lat_p99_s])</f>
        <v>21.65083924</v>
      </c>
      <c r="C11" s="51">
        <f>AVERAGE(Tradicional[lat_p99_s])</f>
        <v>13.66044837</v>
      </c>
      <c r="D11" s="51">
        <f>AVERAGE(Virtual_Sem_Outliers[lat_p99_s])</f>
        <v>1.059962565</v>
      </c>
      <c r="E11" s="51">
        <f>AVERAGE(Tradicional_Sem_Outliers[lat_p99_s])</f>
        <v>1.943186281</v>
      </c>
    </row>
    <row r="12">
      <c r="A12" s="33" t="s">
        <v>70</v>
      </c>
      <c r="B12" s="51">
        <f>AVERAGE(Virtual[cpu_mean])</f>
        <v>0.03706519447</v>
      </c>
      <c r="C12" s="51">
        <f>AVERAGE(Tradicional[cpu_mean])</f>
        <v>0.08109624493</v>
      </c>
      <c r="D12" s="51">
        <f>AVERAGE(Virtual_Sem_Outliers[cpu_mean])</f>
        <v>0.03699103078</v>
      </c>
      <c r="E12" s="51">
        <f>AVERAGE(Tradicional_Sem_Outliers[cpu_mean])</f>
        <v>0.08256190463</v>
      </c>
    </row>
    <row r="13">
      <c r="A13" s="33" t="s">
        <v>71</v>
      </c>
      <c r="B13" s="51">
        <f>AVERAGE(Virtual[mem_used_mb])</f>
        <v>480.086523</v>
      </c>
      <c r="C13" s="51">
        <f>AVERAGE(Tradicional[mem_used_mb])</f>
        <v>511.0770885</v>
      </c>
      <c r="D13" s="51">
        <f>AVERAGE(Virtual_Sem_Outliers[heap_used_mb])</f>
        <v>142.2355416</v>
      </c>
      <c r="E13" s="51">
        <f>AVERAGE(Tradicional_Sem_Outliers[heap_used_mb])</f>
        <v>179.6310899</v>
      </c>
    </row>
    <row r="14">
      <c r="A14" s="33" t="s">
        <v>72</v>
      </c>
      <c r="B14" s="51">
        <f>AVERAGE(Virtual[heap_used_mb])</f>
        <v>204.8866593</v>
      </c>
      <c r="C14" s="51">
        <f>AVERAGE(Tradicional[heap_used_mb])</f>
        <v>204.6250189</v>
      </c>
      <c r="D14" s="51">
        <f>AVERAGE(Virtual_Sem_Outliers[heap_used_mb])</f>
        <v>142.2355416</v>
      </c>
      <c r="E14" s="51">
        <f>AVERAGE(Tradicional_Sem_Outliers[heap_used_mb])</f>
        <v>179.6310899</v>
      </c>
    </row>
    <row r="15">
      <c r="A15" s="33" t="s">
        <v>73</v>
      </c>
      <c r="B15" s="51">
        <f>MIN(Virtual[lat_p50_s]) </f>
        <v>0.108061526</v>
      </c>
      <c r="C15" s="51">
        <f>MIN(Tradicional[lat_p50_s]) </f>
        <v>0.109671071</v>
      </c>
      <c r="D15" s="51">
        <f>MIN(Virtual_Sem_Outliers[lat_p50_s]) </f>
        <v>0.108068029</v>
      </c>
      <c r="E15" s="51">
        <f>MIN(Tradicional_Sem_Outliers[lat_p50_s]) </f>
        <v>0.109671071</v>
      </c>
    </row>
  </sheetData>
  <dataValidations>
    <dataValidation type="custom" allowBlank="1" showDropDown="1" sqref="B2:B1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