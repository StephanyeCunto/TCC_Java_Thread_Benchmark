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Outliers" sheetId="2" r:id="rId5"/>
    <sheet state="visible" name="Dados_sem_outliers" sheetId="3" r:id="rId6"/>
    <sheet state="visible" name="Amostra" sheetId="4" r:id="rId7"/>
    <sheet state="visible" name="Margem_Erro" sheetId="5" r:id="rId8"/>
    <sheet state="visible" name="Estatisticas_gerais" sheetId="6" r:id="rId9"/>
    <sheet state="visible" name="Intervalo_De_Confianca" sheetId="7" r:id="rId10"/>
  </sheets>
  <definedNames>
    <definedName name="cpu_virtual_limite_superior">Outliers!$F$6</definedName>
    <definedName name="memoria_virtual_limite_superior">Outliers!$B$14</definedName>
    <definedName name="run_tradicional_limite_superior">Outliers!$C$6</definedName>
    <definedName name="memoria_tradicional_limite_inferior">Outliers!$C$13</definedName>
    <definedName name="run_virtual_limite_inferior">Outliers!$B$5</definedName>
    <definedName name="heap_tradicional_limite_superior">Outliers!$G$14</definedName>
    <definedName name="heap_tradicional_limite_inferior">Outliers!$G$13</definedName>
    <definedName name="run_virtual_limite_superior">Outliers!$B$6</definedName>
    <definedName name="cpu_tradicional_limite_superior">Outliers!$G$6</definedName>
    <definedName name="heap_virtual_limite_inferior">Outliers!$F$13</definedName>
    <definedName name="cpu_tradicional_limite_inferior">Outliers!$G$5</definedName>
    <definedName name="heap_virtual_limite_superior">Outliers!$F$14</definedName>
    <definedName name="memoria_virtual_limite_inferior">Outliers!$B$13</definedName>
    <definedName name="run_tradicional_limite_inferior">Outliers!$C$5</definedName>
    <definedName name="cpu_virtual_limite_inferior">Outliers!$F$5</definedName>
    <definedName name="memoria_tradicional_limite_superior">Outliers!$C$14</definedName>
  </definedNames>
  <calcPr/>
</workbook>
</file>

<file path=xl/sharedStrings.xml><?xml version="1.0" encoding="utf-8"?>
<sst xmlns="http://schemas.openxmlformats.org/spreadsheetml/2006/main" count="206" uniqueCount="53">
  <si>
    <t>run</t>
  </si>
  <si>
    <t>rate</t>
  </si>
  <si>
    <t>cpu</t>
  </si>
  <si>
    <t>memoria_gb</t>
  </si>
  <si>
    <t>heap_mb</t>
  </si>
  <si>
    <t>Outliers</t>
  </si>
  <si>
    <t>Métrica</t>
  </si>
  <si>
    <t>virtual</t>
  </si>
  <si>
    <t>tradicional</t>
  </si>
  <si>
    <t>Q1</t>
  </si>
  <si>
    <t>Q3</t>
  </si>
  <si>
    <t>IQR</t>
  </si>
  <si>
    <t>Limite inferior</t>
  </si>
  <si>
    <t>Limite superior</t>
  </si>
  <si>
    <t>Metricas</t>
  </si>
  <si>
    <t>Virtual</t>
  </si>
  <si>
    <t>Tradicional</t>
  </si>
  <si>
    <t>Tamanho da Amostra</t>
  </si>
  <si>
    <t>Valor critico</t>
  </si>
  <si>
    <t>Desvio padrão</t>
  </si>
  <si>
    <t>Margem de Erro</t>
  </si>
  <si>
    <t>Resultado</t>
  </si>
  <si>
    <t>Execuções</t>
  </si>
  <si>
    <t>Margem de Erro Estimada</t>
  </si>
  <si>
    <t>Tempo Total (h)</t>
  </si>
  <si>
    <t>Tempo Total (dias)</t>
  </si>
  <si>
    <t>Margem Atual - Esperada</t>
  </si>
  <si>
    <t>Executado</t>
  </si>
  <si>
    <t>Tempo</t>
  </si>
  <si>
    <t>Warmup</t>
  </si>
  <si>
    <t>runWarmup</t>
  </si>
  <si>
    <t>cg</t>
  </si>
  <si>
    <t>Pausa</t>
  </si>
  <si>
    <t>Fixos</t>
  </si>
  <si>
    <t>loop</t>
  </si>
  <si>
    <t>EndPoint</t>
  </si>
  <si>
    <t>Média</t>
  </si>
  <si>
    <t>Mediana</t>
  </si>
  <si>
    <t>Mínimo</t>
  </si>
  <si>
    <t>Máximo</t>
  </si>
  <si>
    <t>Desvio Padrão</t>
  </si>
  <si>
    <t>cpu_mean</t>
  </si>
  <si>
    <t xml:space="preserve"> mem_used_mb  </t>
  </si>
  <si>
    <t>heap_used_mb</t>
  </si>
  <si>
    <t>Graus de liberdade</t>
  </si>
  <si>
    <t>Valor crítico t</t>
  </si>
  <si>
    <t>Erro padrão da média</t>
  </si>
  <si>
    <t>Margem de erro</t>
  </si>
  <si>
    <t>IC_inferior</t>
  </si>
  <si>
    <t>IC_superior</t>
  </si>
  <si>
    <t>Metrica</t>
  </si>
  <si>
    <t>heap</t>
  </si>
  <si>
    <t>largura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</si>
</sst>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0"/>
    <numFmt numFmtId="165" formatCode="0.0000"/>
    <numFmt numFmtId="166" formatCode="hh:mm:ss"/>
    <numFmt numFmtId="167" formatCode="0.0000%"/>
    <numFmt numFmtId="168" formatCode="#,##0.0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2" fillId="2" fontId="3" numFmtId="10" xfId="0" applyAlignment="1" applyBorder="1" applyFont="1" applyNumberForma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3" fillId="2" fontId="3" numFmtId="0" xfId="0" applyAlignment="1" applyBorder="1" applyFont="1">
      <alignment horizontal="right" shrinkToFit="0" vertical="center" wrapText="0"/>
    </xf>
    <xf borderId="3" fillId="2" fontId="3" numFmtId="10" xfId="0" applyAlignment="1" applyBorder="1" applyFont="1" applyNumberFormat="1">
      <alignment shrinkToFit="0" vertical="center" wrapText="0"/>
    </xf>
    <xf borderId="2" fillId="3" fontId="3" numFmtId="0" xfId="0" applyAlignment="1" applyBorder="1" applyFont="1">
      <alignment horizontal="right" shrinkToFit="0" vertical="center" wrapText="0"/>
    </xf>
    <xf borderId="3" fillId="3" fontId="3" numFmtId="0" xfId="0" applyAlignment="1" applyBorder="1" applyFont="1">
      <alignment horizontal="right" shrinkToFit="0" vertical="center" wrapText="0"/>
    </xf>
    <xf borderId="2" fillId="3" fontId="3" numFmtId="10" xfId="0" applyAlignment="1" applyBorder="1" applyFont="1" applyNumberFormat="1">
      <alignment shrinkToFit="0" vertical="center" wrapText="0"/>
    </xf>
    <xf borderId="3" fillId="3" fontId="3" numFmtId="10" xfId="0" applyAlignment="1" applyBorder="1" applyFont="1" applyNumberFormat="1">
      <alignment shrinkToFit="0" vertical="center" wrapText="0"/>
    </xf>
    <xf borderId="4" fillId="2" fontId="3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horizontal="right" shrinkToFit="0" vertical="center" wrapText="0"/>
    </xf>
    <xf borderId="6" fillId="2" fontId="3" numFmtId="0" xfId="0" applyAlignment="1" applyBorder="1" applyFont="1">
      <alignment horizontal="right" shrinkToFit="0" vertical="center" wrapText="0"/>
    </xf>
    <xf borderId="5" fillId="2" fontId="3" numFmtId="10" xfId="0" applyAlignment="1" applyBorder="1" applyFont="1" applyNumberFormat="1">
      <alignment shrinkToFit="0" vertical="center" wrapText="0"/>
    </xf>
    <xf borderId="6" fillId="2" fontId="3" numFmtId="10" xfId="0" applyAlignment="1" applyBorder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4" numFmtId="0" xfId="0" applyAlignment="1" applyFont="1">
      <alignment vertical="bottom"/>
    </xf>
    <xf borderId="2" fillId="2" fontId="3" numFmtId="164" xfId="0" applyAlignment="1" applyBorder="1" applyFont="1" applyNumberFormat="1">
      <alignment horizontal="right" shrinkToFit="0" vertical="center" wrapText="0"/>
    </xf>
    <xf borderId="3" fillId="2" fontId="3" numFmtId="164" xfId="0" applyAlignment="1" applyBorder="1" applyFont="1" applyNumberFormat="1">
      <alignment horizontal="righ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46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5" xfId="0" applyFont="1" applyNumberFormat="1"/>
    <xf borderId="2" fillId="2" fontId="3" numFmtId="0" xfId="0" applyAlignment="1" applyBorder="1" applyFon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2" fillId="3" fontId="3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1" numFmtId="0" xfId="0" applyFont="1"/>
    <xf borderId="5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shrinkToFit="0" wrapText="0"/>
    </xf>
    <xf borderId="2" fillId="3" fontId="3" numFmtId="0" xfId="0" applyAlignment="1" applyBorder="1" applyFont="1">
      <alignment shrinkToFit="0" wrapText="0"/>
    </xf>
    <xf borderId="2" fillId="3" fontId="3" numFmtId="10" xfId="0" applyAlignment="1" applyBorder="1" applyFont="1" applyNumberFormat="1">
      <alignment shrinkToFit="0" wrapText="0"/>
    </xf>
    <xf borderId="4" fillId="3" fontId="3" numFmtId="0" xfId="0" applyAlignment="1" applyBorder="1" applyFont="1">
      <alignment shrinkToFit="0" wrapText="0"/>
    </xf>
    <xf borderId="5" fillId="3" fontId="3" numFmtId="0" xfId="0" applyAlignment="1" applyBorder="1" applyFont="1">
      <alignment shrinkToFit="0" wrapText="0"/>
    </xf>
    <xf borderId="5" fillId="3" fontId="3" numFmtId="4" xfId="0" applyAlignment="1" applyBorder="1" applyFont="1" applyNumberFormat="1">
      <alignment horizontal="right" shrinkToFit="0" wrapText="0"/>
    </xf>
    <xf borderId="5" fillId="3" fontId="3" numFmtId="2" xfId="0" applyAlignment="1" applyBorder="1" applyFont="1" applyNumberFormat="1">
      <alignment horizontal="right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">
    <tableStyle count="4" pivot="0" name="D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li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lier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lier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lier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_sem_outli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_sem_outlier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ost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ostr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ostr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ostra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gem_Er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gem_Err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gem_Err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tisticas_gera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tisticas_gerai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valo_De_Confian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valo_De_Confianc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valo_De_Confianca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51" displayName="Virtual" name="Virtual" id="1">
  <tableColumns count="6">
    <tableColumn name="run" id="1"/>
    <tableColumn name="rate" id="2"/>
    <tableColumn name="cpu" id="3"/>
    <tableColumn name="memoria_gb" id="4"/>
    <tableColumn name="heap_mb" id="5"/>
    <tableColumn name="Outliers" id="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ref="A54:F104" displayName="Tradicional" name="Tradicional" id="2">
  <tableColumns count="6">
    <tableColumn name="run" id="1"/>
    <tableColumn name="rate" id="2"/>
    <tableColumn name="cpu" id="3"/>
    <tableColumn name="memoria_gb" id="4"/>
    <tableColumn name="heap_mb" id="5"/>
    <tableColumn name="Outliers" id="6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ref="A1:C6" displayName="Outlier_Rate" name="Outlier_Rate" id="3">
  <tableColumns count="3">
    <tableColumn name="Métrica" id="1"/>
    <tableColumn name="virtual" id="2"/>
    <tableColumn name="tradicional" id="3"/>
  </tableColumns>
  <tableStyleInfo name="Outliers-style" showColumnStripes="0" showFirstColumn="1" showLastColumn="1" showRowStripes="1"/>
</table>
</file>

<file path=xl/tables/table4.xml><?xml version="1.0" encoding="utf-8"?>
<table xmlns="http://schemas.openxmlformats.org/spreadsheetml/2006/main" ref="E1:G6" displayName="Outlier_CPU" name="Outlier_CPU" id="4">
  <tableColumns count="3">
    <tableColumn name="Métrica" id="1"/>
    <tableColumn name="virtual" id="2"/>
    <tableColumn name="tradicional" id="3"/>
  </tableColumns>
  <tableStyleInfo name="Outliers-style 2" showColumnStripes="0" showFirstColumn="1" showLastColumn="1" showRowStripes="1"/>
</table>
</file>

<file path=xl/tables/table5.xml><?xml version="1.0" encoding="utf-8"?>
<table xmlns="http://schemas.openxmlformats.org/spreadsheetml/2006/main" ref="A9:C14" displayName="Outlier_Memoria" name="Outlier_Memoria" id="5">
  <tableColumns count="3">
    <tableColumn name="Métrica" id="1"/>
    <tableColumn name="virtual" id="2"/>
    <tableColumn name="tradicional" id="3"/>
  </tableColumns>
  <tableStyleInfo name="Outliers-style 3" showColumnStripes="0" showFirstColumn="1" showLastColumn="1" showRowStripes="1"/>
</table>
</file>

<file path=xl/tables/table6.xml><?xml version="1.0" encoding="utf-8"?>
<table xmlns="http://schemas.openxmlformats.org/spreadsheetml/2006/main" ref="E9:G14" displayName="Outlier_Heap" name="Outlier_Heap" id="6">
  <tableColumns count="3">
    <tableColumn name="Métrica" id="1"/>
    <tableColumn name="virtual" id="2"/>
    <tableColumn name="tradicional" id="3"/>
  </tableColumns>
  <tableStyleInfo name="Outliers-style 4" showColumnStripes="0" showFirstColumn="1" showLastColumn="1" showRowStripes="1"/>
</table>
</file>

<file path=xl/tables/table7.xml><?xml version="1.0" encoding="utf-8"?>
<table xmlns="http://schemas.openxmlformats.org/spreadsheetml/2006/main" ref="A1:E40" displayName="Virtual_sem_outliers" name="Virtual_sem_outliers" id="7">
  <tableColumns count="5">
    <tableColumn name="run" id="1"/>
    <tableColumn name="rate" id="2"/>
    <tableColumn name="cpu" id="3"/>
    <tableColumn name="memoria_gb" id="4"/>
    <tableColumn name="heap_mb" id="5"/>
  </tableColumns>
  <tableStyleInfo name="Dados_sem_outliers-style" showColumnStripes="0" showFirstColumn="1" showLastColumn="1" showRowStripes="1"/>
</table>
</file>

<file path=xl/tables/table8.xml><?xml version="1.0" encoding="utf-8"?>
<table xmlns="http://schemas.openxmlformats.org/spreadsheetml/2006/main" ref="A43:E86" displayName="Tradicional_sem_outilers" name="Tradicional_sem_outilers" id="8">
  <tableColumns count="5">
    <tableColumn name="run" id="1"/>
    <tableColumn name="rate" id="2"/>
    <tableColumn name="cpu" id="3"/>
    <tableColumn name="memoria_gb" id="4"/>
    <tableColumn name="heap_mb" id="5"/>
  </tableColumns>
  <tableStyleInfo name="Dados_sem_outliers-style 2" showColumnStripes="0" showFirstColumn="1" showLastColumn="1" showRowStripes="1"/>
</table>
</file>

<file path=xl/tables/table9.xml><?xml version="1.0" encoding="utf-8"?>
<table xmlns="http://schemas.openxmlformats.org/spreadsheetml/2006/main" ref="A1:C6" displayName="Rate" name="Rate" id="9">
  <tableColumns count="3">
    <tableColumn name="Metricas" id="1"/>
    <tableColumn name="Virtual" id="2"/>
    <tableColumn name="Tradicional" id="3"/>
  </tableColumns>
  <tableStyleInfo name="Amostra-style" showColumnStripes="0" showFirstColumn="1" showLastColumn="1" showRowStripes="1"/>
</table>
</file>

<file path=xl/tables/table10.xml><?xml version="1.0" encoding="utf-8"?>
<table xmlns="http://schemas.openxmlformats.org/spreadsheetml/2006/main" ref="E1:G6" displayName="Cpu" name="Cpu" id="10">
  <tableColumns count="3">
    <tableColumn name="Metricas" id="1"/>
    <tableColumn name="Virtual" id="2"/>
    <tableColumn name="Tradicional" id="3"/>
  </tableColumns>
  <tableStyleInfo name="Amostra-style 2" showColumnStripes="0" showFirstColumn="1" showLastColumn="1" showRowStripes="1"/>
</table>
</file>

<file path=xl/tables/table11.xml><?xml version="1.0" encoding="utf-8"?>
<table xmlns="http://schemas.openxmlformats.org/spreadsheetml/2006/main" ref="A9:C14" displayName="Memoria" name="Memoria" id="11">
  <tableColumns count="3">
    <tableColumn name="Metricas" id="1"/>
    <tableColumn name="Virtual" id="2"/>
    <tableColumn name="Tradicional" id="3"/>
  </tableColumns>
  <tableStyleInfo name="Amostra-style 3" showColumnStripes="0" showFirstColumn="1" showLastColumn="1" showRowStripes="1"/>
</table>
</file>

<file path=xl/tables/table12.xml><?xml version="1.0" encoding="utf-8"?>
<table xmlns="http://schemas.openxmlformats.org/spreadsheetml/2006/main" ref="E9:G14" displayName="Heap" name="Heap" id="12">
  <tableColumns count="3">
    <tableColumn name="Metricas" id="1"/>
    <tableColumn name="Virtual" id="2"/>
    <tableColumn name="Tradicional" id="3"/>
  </tableColumns>
  <tableStyleInfo name="Amostra-style 4" showColumnStripes="0" showFirstColumn="1" showLastColumn="1" showRowStripes="1"/>
</table>
</file>

<file path=xl/tables/table13.xml><?xml version="1.0" encoding="utf-8"?>
<table xmlns="http://schemas.openxmlformats.org/spreadsheetml/2006/main" ref="A1:E5" displayName="Tradicional_Rate" name="Tradicional_Rate" id="13">
  <tableColumns count="5">
    <tableColumn name="Execuções" id="1"/>
    <tableColumn name="Margem de Erro Estimada" id="2"/>
    <tableColumn name="Tempo Total (h)" id="3"/>
    <tableColumn name="Tempo Total (dias)" id="4"/>
    <tableColumn name="Margem Atual - Esperada" id="5"/>
  </tableColumns>
  <tableStyleInfo name="Margem_Erro-style" showColumnStripes="0" showFirstColumn="1" showLastColumn="1" showRowStripes="1"/>
</table>
</file>

<file path=xl/tables/table14.xml><?xml version="1.0" encoding="utf-8"?>
<table xmlns="http://schemas.openxmlformats.org/spreadsheetml/2006/main" ref="G1:H7" displayName="Tempo" name="Tempo" id="14">
  <tableColumns count="2">
    <tableColumn name="Executado" id="1"/>
    <tableColumn name="Tempo" id="2"/>
  </tableColumns>
  <tableStyleInfo name="Margem_Erro-style 2" showColumnStripes="0" showFirstColumn="1" showLastColumn="1" showRowStripes="1"/>
</table>
</file>

<file path=xl/tables/table15.xml><?xml version="1.0" encoding="utf-8"?>
<table xmlns="http://schemas.openxmlformats.org/spreadsheetml/2006/main" ref="A8:E12" displayName="Virtual_Rate" name="Virtual_Rate" id="15">
  <tableColumns count="5">
    <tableColumn name="Execuções" id="1"/>
    <tableColumn name="Margem de Erro Estimada" id="2"/>
    <tableColumn name="Tempo Total (h)" id="3"/>
    <tableColumn name="Tempo Total (dias)" id="4"/>
    <tableColumn name="Margem Atual - Esperada" id="5"/>
  </tableColumns>
  <tableStyleInfo name="Margem_Erro-style 3" showColumnStripes="0" showFirstColumn="1" showLastColumn="1" showRowStripes="1"/>
</table>
</file>

<file path=xl/tables/table16.xml><?xml version="1.0" encoding="utf-8"?>
<table xmlns="http://schemas.openxmlformats.org/spreadsheetml/2006/main" ref="A1:F11" displayName="Estatisticas" name="Estatisticas" id="16">
  <tableColumns count="6">
    <tableColumn name="EndPoint" id="1"/>
    <tableColumn name="Métrica" id="2"/>
    <tableColumn name="rate" id="3"/>
    <tableColumn name="cpu" id="4"/>
    <tableColumn name="memoria_gb" id="5"/>
    <tableColumn name="heap_mb" id="6"/>
  </tableColumns>
  <tableStyleInfo name="Estatisticas_gerais-style" showColumnStripes="0" showFirstColumn="1" showLastColumn="1" showRowStripes="1"/>
</table>
</file>

<file path=xl/tables/table17.xml><?xml version="1.0" encoding="utf-8"?>
<table xmlns="http://schemas.openxmlformats.org/spreadsheetml/2006/main" ref="A16:F26" displayName="Estatisticas_Sem_Outliers" name="Estatisticas_Sem_Outliers" id="17">
  <tableColumns count="6">
    <tableColumn name="EndPoint" id="1"/>
    <tableColumn name="Métrica" id="2"/>
    <tableColumn name="rate" id="3"/>
    <tableColumn name="cpu" id="4"/>
    <tableColumn name="memoria_gb" id="5"/>
    <tableColumn name="heap_mb" id="6"/>
  </tableColumns>
  <tableStyleInfo name="Estatisticas_gerais-style 2" showColumnStripes="0" showFirstColumn="1" showLastColumn="1" showRowStripes="1"/>
</table>
</file>

<file path=xl/tables/table18.xml><?xml version="1.0" encoding="utf-8"?>
<table xmlns="http://schemas.openxmlformats.org/spreadsheetml/2006/main" ref="A1:F8" displayName="Virtual_IC_95" name="Virtual_IC_95" id="18">
  <tableColumns count="6">
    <tableColumn name="EndPoint" id="1"/>
    <tableColumn name="Métrica" id="2"/>
    <tableColumn name="rate" id="3"/>
    <tableColumn name="cpu_mean" id="4"/>
    <tableColumn name=" mem_used_mb  " id="5"/>
    <tableColumn name="heap_used_mb" id="6"/>
  </tableColumns>
  <tableStyleInfo name="Intervalo_De_Confianca-style" showColumnStripes="0" showFirstColumn="1" showLastColumn="1" showRowStripes="1"/>
</table>
</file>

<file path=xl/tables/table19.xml><?xml version="1.0" encoding="utf-8"?>
<table xmlns="http://schemas.openxmlformats.org/spreadsheetml/2006/main" ref="A11:F18" displayName="Tradicional_IC_95" name="Tradicional_IC_95" id="19">
  <tableColumns count="6">
    <tableColumn name="EndPoint" id="1"/>
    <tableColumn name="Métrica" id="2"/>
    <tableColumn name="rate" id="3"/>
    <tableColumn name="cpu_mean" id="4"/>
    <tableColumn name=" mem_used_mb  " id="5"/>
    <tableColumn name="heap_used_mb" id="6"/>
  </tableColumns>
  <tableStyleInfo name="Intervalo_De_Confianca-style 2" showColumnStripes="0" showFirstColumn="1" showLastColumn="1" showRowStripes="1"/>
</table>
</file>

<file path=xl/tables/table20.xml><?xml version="1.0" encoding="utf-8"?>
<table xmlns="http://schemas.openxmlformats.org/spreadsheetml/2006/main" ref="A22:F24" displayName="IC" name="IC" id="20">
  <tableColumns count="6">
    <tableColumn name="EndPoint" id="1"/>
    <tableColumn name="Metrica" id="2"/>
    <tableColumn name="rate" id="3"/>
    <tableColumn name="cpu_mean" id="4"/>
    <tableColumn name=" mem_used_mb  " id="5"/>
    <tableColumn name="heap" id="6"/>
  </tableColumns>
  <tableStyleInfo name="Intervalo_De_Confianc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6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3.xml"/><Relationship Id="rId6" Type="http://schemas.openxmlformats.org/officeDocument/2006/relationships/table" Target="../tables/table14.xml"/><Relationship Id="rId7" Type="http://schemas.openxmlformats.org/officeDocument/2006/relationships/table" Target="../tables/table1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2.0</v>
      </c>
      <c r="B2" s="4">
        <v>2400.16473961087</v>
      </c>
      <c r="C2" s="5">
        <v>0.025656128152627</v>
      </c>
      <c r="D2" s="6">
        <v>0.508350453133825</v>
      </c>
      <c r="E2" s="6">
        <v>229.241020242167</v>
      </c>
      <c r="F2" s="7" t="str">
        <f>IF(OR($B2&gt;run_virtual_limite_superior, $B2&lt;run_virtual_limite_inferior, $C2&gt;cpu_virtual_limite_superior, $C2&lt;cpu_virtual_limite_inferior,$D2&lt;memoria_virtual_limite_inferior,$D2&gt;memoria_virtual_limite_superior,E2&gt;heap_virtual_limite_superior,E2&lt;heap_virtual_limite_inferior), "OUTLIER", "OK")
</f>
        <v>OK</v>
      </c>
    </row>
    <row r="3">
      <c r="A3" s="3">
        <v>4.0</v>
      </c>
      <c r="B3" s="4">
        <v>2198.83311721354</v>
      </c>
      <c r="C3" s="5">
        <v>0.0235438829961023</v>
      </c>
      <c r="D3" s="6">
        <v>0.808812963897037</v>
      </c>
      <c r="E3" s="6">
        <v>273.469796630859</v>
      </c>
      <c r="F3" s="7" t="str">
        <f>IF(OR($B3&gt;run_virtual_limite_superior, $B3&lt;run_virtual_limite_inferior, $C3&gt;cpu_virtual_limite_superior, $C3&lt;cpu_virtual_limite_inferior,$D3&lt;memoria_virtual_limite_inferior,$D3&gt;memoria_virtual_limite_superior,E3&gt;heap_virtual_limite_superior,E3&lt;heap_virtual_limite_inferior), "OUTLIER", "OK")
</f>
        <v>OUTLIER</v>
      </c>
    </row>
    <row r="4">
      <c r="A4" s="3">
        <v>6.0</v>
      </c>
      <c r="B4" s="4">
        <v>3050.15242024378</v>
      </c>
      <c r="C4" s="5">
        <v>0.0293794720736326</v>
      </c>
      <c r="D4" s="6">
        <v>0.537854833970683</v>
      </c>
      <c r="E4" s="6">
        <v>265.497382822344</v>
      </c>
      <c r="F4" s="7" t="str">
        <f>IF(OR($B4&gt;run_virtual_limite_superior, $B4&lt;run_virtual_limite_inferior, $C4&gt;cpu_virtual_limite_superior, $C4&lt;cpu_virtual_limite_inferior,$D4&lt;memoria_virtual_limite_inferior,$D4&gt;memoria_virtual_limite_superior,E4&gt;heap_virtual_limite_superior,E4&lt;heap_virtual_limite_inferior), "OUTLIER", "OK")
</f>
        <v>OK</v>
      </c>
    </row>
    <row r="5">
      <c r="A5" s="3">
        <v>8.0</v>
      </c>
      <c r="B5" s="4">
        <v>2812.38945663305</v>
      </c>
      <c r="C5" s="5">
        <v>0.029001068779167</v>
      </c>
      <c r="D5" s="6">
        <v>0.520425557474043</v>
      </c>
      <c r="E5" s="6">
        <v>241.171490366496</v>
      </c>
      <c r="F5" s="7" t="str">
        <f>IF(OR($B5&gt;run_virtual_limite_superior, $B5&lt;run_virtual_limite_inferior, $C5&gt;cpu_virtual_limite_superior, $C5&lt;cpu_virtual_limite_inferior,$D5&lt;memoria_virtual_limite_inferior,$D5&gt;memoria_virtual_limite_superior,E5&gt;heap_virtual_limite_superior,E5&lt;heap_virtual_limite_inferior), "OUTLIER", "OK")
</f>
        <v>OK</v>
      </c>
    </row>
    <row r="6">
      <c r="A6" s="3">
        <v>10.0</v>
      </c>
      <c r="B6" s="4">
        <v>4394.15665278263</v>
      </c>
      <c r="C6" s="5">
        <v>0.0418159716390132</v>
      </c>
      <c r="D6" s="6">
        <v>0.489954873513038</v>
      </c>
      <c r="E6" s="6">
        <v>227.257069939193</v>
      </c>
      <c r="F6" s="7" t="str">
        <f>IF(OR($B6&gt;run_virtual_limite_superior, $B6&lt;run_virtual_limite_inferior, $C6&gt;cpu_virtual_limite_superior, $C6&lt;cpu_virtual_limite_inferior,$D6&lt;memoria_virtual_limite_inferior,$D6&gt;memoria_virtual_limite_superior,E6&gt;heap_virtual_limite_superior,E6&lt;heap_virtual_limite_inferior), "OUTLIER", "OK")
</f>
        <v>OUTLIER</v>
      </c>
    </row>
    <row r="7">
      <c r="A7" s="3">
        <v>12.0</v>
      </c>
      <c r="B7" s="4">
        <v>3050.034879221</v>
      </c>
      <c r="C7" s="5">
        <v>0.028923534020101</v>
      </c>
      <c r="D7" s="6">
        <v>0.614571602886607</v>
      </c>
      <c r="E7" s="6">
        <v>290.229130030558</v>
      </c>
      <c r="F7" s="7" t="str">
        <f>IF(OR($B7&gt;run_virtual_limite_superior, $B7&lt;run_virtual_limite_inferior, $C7&gt;cpu_virtual_limite_superior, $C7&lt;cpu_virtual_limite_inferior,$D7&lt;memoria_virtual_limite_inferior,$D7&gt;memoria_virtual_limite_superior,E7&gt;heap_virtual_limite_superior,E7&lt;heap_virtual_limite_inferior), "OUTLIER", "OK")
</f>
        <v>OUTLIER</v>
      </c>
    </row>
    <row r="8">
      <c r="A8" s="3">
        <v>14.0</v>
      </c>
      <c r="B8" s="4">
        <v>4800.06190015824</v>
      </c>
      <c r="C8" s="5">
        <v>0.044098665906298</v>
      </c>
      <c r="D8" s="6">
        <v>0.519529258096007</v>
      </c>
      <c r="E8" s="6">
        <v>243.449774775565</v>
      </c>
      <c r="F8" s="7" t="str">
        <f>IF(OR($B8&gt;run_virtual_limite_superior, $B8&lt;run_virtual_limite_inferior, $C8&gt;cpu_virtual_limite_superior, $C8&lt;cpu_virtual_limite_inferior,$D8&lt;memoria_virtual_limite_inferior,$D8&gt;memoria_virtual_limite_superior,E8&gt;heap_virtual_limite_superior,E8&lt;heap_virtual_limite_inferior), "OUTLIER", "OK")
</f>
        <v>OUTLIER</v>
      </c>
    </row>
    <row r="9">
      <c r="A9" s="3">
        <v>16.0</v>
      </c>
      <c r="B9" s="4">
        <v>2900.21657043476</v>
      </c>
      <c r="C9" s="5">
        <v>0.0305012395770678</v>
      </c>
      <c r="D9" s="6">
        <v>0.615919787646359</v>
      </c>
      <c r="E9" s="6">
        <v>268.522766187353</v>
      </c>
      <c r="F9" s="7" t="str">
        <f>IF(OR($B9&gt;run_virtual_limite_superior, $B9&lt;run_virtual_limite_inferior, $C9&gt;cpu_virtual_limite_superior, $C9&lt;cpu_virtual_limite_inferior,$D9&lt;memoria_virtual_limite_inferior,$D9&gt;memoria_virtual_limite_superior,E9&gt;heap_virtual_limite_superior,E9&lt;heap_virtual_limite_inferior), "OUTLIER", "OK")
</f>
        <v>OUTLIER</v>
      </c>
    </row>
    <row r="10">
      <c r="A10" s="3">
        <v>18.0</v>
      </c>
      <c r="B10" s="4">
        <v>2300.11816811086</v>
      </c>
      <c r="C10" s="5">
        <v>0.0251343773043789</v>
      </c>
      <c r="D10" s="6">
        <v>0.493944756528561</v>
      </c>
      <c r="E10" s="6">
        <v>201.792971486058</v>
      </c>
      <c r="F10" s="7" t="str">
        <f>IF(OR($B10&gt;run_virtual_limite_superior, $B10&lt;run_virtual_limite_inferior, $C10&gt;cpu_virtual_limite_superior, $C10&lt;cpu_virtual_limite_inferior,$D10&lt;memoria_virtual_limite_inferior,$D10&gt;memoria_virtual_limite_superior,E10&gt;heap_virtual_limite_superior,E10&lt;heap_virtual_limite_inferior), "OUTLIER", "OK")
</f>
        <v>OK</v>
      </c>
    </row>
    <row r="11">
      <c r="A11" s="3">
        <v>20.0</v>
      </c>
      <c r="B11" s="4">
        <v>2500.29083833083</v>
      </c>
      <c r="C11" s="5">
        <v>0.0267187975017545</v>
      </c>
      <c r="D11" s="6">
        <v>0.446443866000277</v>
      </c>
      <c r="E11" s="6">
        <v>187.154872573049</v>
      </c>
      <c r="F11" s="7" t="str">
        <f>IF(OR($B11&gt;run_virtual_limite_superior, $B11&lt;run_virtual_limite_inferior, $C11&gt;cpu_virtual_limite_superior, $C11&lt;cpu_virtual_limite_inferior,$D11&lt;memoria_virtual_limite_inferior,$D11&gt;memoria_virtual_limite_superior,E11&gt;heap_virtual_limite_superior,E11&lt;heap_virtual_limite_inferior), "OUTLIER", "OK")
</f>
        <v>OK</v>
      </c>
    </row>
    <row r="12">
      <c r="A12" s="3">
        <v>22.0</v>
      </c>
      <c r="B12" s="4">
        <v>2650.2598658009</v>
      </c>
      <c r="C12" s="5">
        <v>0.0270420309235981</v>
      </c>
      <c r="D12" s="6">
        <v>0.521097106766393</v>
      </c>
      <c r="E12" s="6">
        <v>215.079676553874</v>
      </c>
      <c r="F12" s="7" t="str">
        <f>IF(OR($B12&gt;run_virtual_limite_superior, $B12&lt;run_virtual_limite_inferior, $C12&gt;cpu_virtual_limite_superior, $C12&lt;cpu_virtual_limite_inferior,$D12&lt;memoria_virtual_limite_inferior,$D12&gt;memoria_virtual_limite_superior,E12&gt;heap_virtual_limite_superior,E12&lt;heap_virtual_limite_inferior), "OUTLIER", "OK")
</f>
        <v>OK</v>
      </c>
    </row>
    <row r="13">
      <c r="A13" s="3">
        <v>24.0</v>
      </c>
      <c r="B13" s="4">
        <v>1699.99859646091</v>
      </c>
      <c r="C13" s="5">
        <v>0.0200785352288945</v>
      </c>
      <c r="D13" s="6">
        <v>0.546248776573011</v>
      </c>
      <c r="E13" s="6">
        <v>223.657092935898</v>
      </c>
      <c r="F13" s="7" t="str">
        <f>IF(OR($B13&gt;run_virtual_limite_superior, $B13&lt;run_virtual_limite_inferior, $C13&gt;cpu_virtual_limite_superior, $C13&lt;cpu_virtual_limite_inferior,$D13&lt;memoria_virtual_limite_inferior,$D13&gt;memoria_virtual_limite_superior,E13&gt;heap_virtual_limite_superior,E13&lt;heap_virtual_limite_inferior), "OUTLIER", "OK")
</f>
        <v>OK</v>
      </c>
    </row>
    <row r="14">
      <c r="A14" s="3">
        <v>26.0</v>
      </c>
      <c r="B14" s="4">
        <v>2172.14604163253</v>
      </c>
      <c r="C14" s="5">
        <v>0.0190717950586729</v>
      </c>
      <c r="D14" s="6">
        <v>0.519338865617576</v>
      </c>
      <c r="E14" s="6">
        <v>198.497380894938</v>
      </c>
      <c r="F14" s="7" t="str">
        <f>IF(OR($B14&gt;run_virtual_limite_superior, $B14&lt;run_virtual_limite_inferior, $C14&gt;cpu_virtual_limite_superior, $C14&lt;cpu_virtual_limite_inferior,$D14&lt;memoria_virtual_limite_inferior,$D14&gt;memoria_virtual_limite_superior,E14&gt;heap_virtual_limite_superior,E14&lt;heap_virtual_limite_inferior), "OUTLIER", "OK")
</f>
        <v>OK</v>
      </c>
    </row>
    <row r="15">
      <c r="A15" s="3">
        <v>28.0</v>
      </c>
      <c r="B15" s="4">
        <v>2150.12610726132</v>
      </c>
      <c r="C15" s="5">
        <v>0.0223563316002524</v>
      </c>
      <c r="D15" s="6">
        <v>0.571959598085633</v>
      </c>
      <c r="E15" s="6">
        <v>252.335015787661</v>
      </c>
      <c r="F15" s="7" t="str">
        <f>IF(OR($B15&gt;run_virtual_limite_superior, $B15&lt;run_virtual_limite_inferior, $C15&gt;cpu_virtual_limite_superior, $C15&lt;cpu_virtual_limite_inferior,$D15&lt;memoria_virtual_limite_inferior,$D15&gt;memoria_virtual_limite_superior,E15&gt;heap_virtual_limite_superior,E15&lt;heap_virtual_limite_inferior), "OUTLIER", "OK")
</f>
        <v>OK</v>
      </c>
    </row>
    <row r="16">
      <c r="A16" s="3">
        <v>30.0</v>
      </c>
      <c r="B16" s="4">
        <v>4300.08434142426</v>
      </c>
      <c r="C16" s="5">
        <v>0.0414725468471805</v>
      </c>
      <c r="D16" s="6">
        <v>0.407774225898815</v>
      </c>
      <c r="E16" s="6">
        <v>164.939354283813</v>
      </c>
      <c r="F16" s="7" t="str">
        <f>IF(OR($B16&gt;run_virtual_limite_superior, $B16&lt;run_virtual_limite_inferior, $C16&gt;cpu_virtual_limite_superior, $C16&lt;cpu_virtual_limite_inferior,$D16&lt;memoria_virtual_limite_inferior,$D16&gt;memoria_virtual_limite_superior,E16&gt;heap_virtual_limite_superior,E16&lt;heap_virtual_limite_inferior), "OUTLIER", "OK")
</f>
        <v>OUTLIER</v>
      </c>
    </row>
    <row r="17">
      <c r="A17" s="3">
        <v>32.0</v>
      </c>
      <c r="B17" s="4">
        <v>2450.16662933069</v>
      </c>
      <c r="C17" s="5">
        <v>0.0247793398313917</v>
      </c>
      <c r="D17" s="6">
        <v>0.473920258222699</v>
      </c>
      <c r="E17" s="6">
        <v>192.051260948181</v>
      </c>
      <c r="F17" s="7" t="str">
        <f>IF(OR($B17&gt;run_virtual_limite_superior, $B17&lt;run_virtual_limite_inferior, $C17&gt;cpu_virtual_limite_superior, $C17&lt;cpu_virtual_limite_inferior,$D17&lt;memoria_virtual_limite_inferior,$D17&gt;memoria_virtual_limite_superior,E17&gt;heap_virtual_limite_superior,E17&lt;heap_virtual_limite_inferior), "OUTLIER", "OK")
</f>
        <v>OK</v>
      </c>
    </row>
    <row r="18">
      <c r="A18" s="3">
        <v>34.0</v>
      </c>
      <c r="B18" s="4">
        <v>1800.1838156893</v>
      </c>
      <c r="C18" s="5">
        <v>0.0224766231504992</v>
      </c>
      <c r="D18" s="6">
        <v>0.397349001098981</v>
      </c>
      <c r="E18" s="6">
        <v>152.48830452261</v>
      </c>
      <c r="F18" s="7" t="str">
        <f>IF(OR($B18&gt;run_virtual_limite_superior, $B18&lt;run_virtual_limite_inferior, $C18&gt;cpu_virtual_limite_superior, $C18&lt;cpu_virtual_limite_inferior,$D18&lt;memoria_virtual_limite_inferior,$D18&gt;memoria_virtual_limite_superior,E18&gt;heap_virtual_limite_superior,E18&lt;heap_virtual_limite_inferior), "OUTLIER", "OK")
</f>
        <v>OK</v>
      </c>
    </row>
    <row r="19">
      <c r="A19" s="3">
        <v>36.0</v>
      </c>
      <c r="B19" s="4">
        <v>3204.05625853821</v>
      </c>
      <c r="C19" s="5">
        <v>0.0327573721060993</v>
      </c>
      <c r="D19" s="6">
        <v>0.612449058667346</v>
      </c>
      <c r="E19" s="6">
        <v>253.871633192262</v>
      </c>
      <c r="F19" s="7" t="str">
        <f>IF(OR($B19&gt;run_virtual_limite_superior, $B19&lt;run_virtual_limite_inferior, $C19&gt;cpu_virtual_limite_superior, $C19&lt;cpu_virtual_limite_inferior,$D19&lt;memoria_virtual_limite_inferior,$D19&gt;memoria_virtual_limite_superior,E19&gt;heap_virtual_limite_superior,E19&lt;heap_virtual_limite_inferior), "OUTLIER", "OK")
</f>
        <v>OUTLIER</v>
      </c>
    </row>
    <row r="20">
      <c r="A20" s="3">
        <v>38.0</v>
      </c>
      <c r="B20" s="4">
        <v>600.086387116099</v>
      </c>
      <c r="C20" s="5">
        <v>0.0106875234192356</v>
      </c>
      <c r="D20" s="6">
        <v>0.309908093782895</v>
      </c>
      <c r="E20" s="6">
        <v>88.4348994168368</v>
      </c>
      <c r="F20" s="7" t="str">
        <f>IF(OR($B20&gt;run_virtual_limite_superior, $B20&lt;run_virtual_limite_inferior, $C20&gt;cpu_virtual_limite_superior, $C20&lt;cpu_virtual_limite_inferior,$D20&lt;memoria_virtual_limite_inferior,$D20&gt;memoria_virtual_limite_superior,E20&gt;heap_virtual_limite_superior,E20&lt;heap_virtual_limite_inferior), "OUTLIER", "OK")
</f>
        <v>OK</v>
      </c>
    </row>
    <row r="21">
      <c r="A21" s="3">
        <v>40.0</v>
      </c>
      <c r="B21" s="4">
        <v>2350.03479085505</v>
      </c>
      <c r="C21" s="5">
        <v>0.0259291709567248</v>
      </c>
      <c r="D21" s="6">
        <v>0.417729913802474</v>
      </c>
      <c r="E21" s="6">
        <v>170.025393410616</v>
      </c>
      <c r="F21" s="7" t="str">
        <f>IF(OR($B21&gt;run_virtual_limite_superior, $B21&lt;run_virtual_limite_inferior, $C21&gt;cpu_virtual_limite_superior, $C21&lt;cpu_virtual_limite_inferior,$D21&lt;memoria_virtual_limite_inferior,$D21&gt;memoria_virtual_limite_superior,E21&gt;heap_virtual_limite_superior,E21&lt;heap_virtual_limite_inferior), "OUTLIER", "OK")
</f>
        <v>OK</v>
      </c>
    </row>
    <row r="22">
      <c r="A22" s="3">
        <v>42.0</v>
      </c>
      <c r="B22" s="4">
        <v>950.045347944566</v>
      </c>
      <c r="C22" s="5">
        <v>0.0118003265054372</v>
      </c>
      <c r="D22" s="6">
        <v>0.381309262572125</v>
      </c>
      <c r="E22" s="6">
        <v>107.084897677103</v>
      </c>
      <c r="F22" s="7" t="str">
        <f>IF(OR($B22&gt;run_virtual_limite_superior, $B22&lt;run_virtual_limite_inferior, $C22&gt;cpu_virtual_limite_superior, $C22&lt;cpu_virtual_limite_inferior,$D22&lt;memoria_virtual_limite_inferior,$D22&gt;memoria_virtual_limite_superior,E22&gt;heap_virtual_limite_superior,E22&lt;heap_virtual_limite_inferior), "OUTLIER", "OK")
</f>
        <v>OK</v>
      </c>
    </row>
    <row r="23">
      <c r="A23" s="3">
        <v>44.0</v>
      </c>
      <c r="B23" s="4">
        <v>2200.26896439863</v>
      </c>
      <c r="C23" s="5">
        <v>0.0244347434051494</v>
      </c>
      <c r="D23" s="6">
        <v>0.526020050136818</v>
      </c>
      <c r="E23" s="6">
        <v>228.724038511514</v>
      </c>
      <c r="F23" s="7" t="str">
        <f>IF(OR($B23&gt;run_virtual_limite_superior, $B23&lt;run_virtual_limite_inferior, $C23&gt;cpu_virtual_limite_superior, $C23&lt;cpu_virtual_limite_inferior,$D23&lt;memoria_virtual_limite_inferior,$D23&gt;memoria_virtual_limite_superior,E23&gt;heap_virtual_limite_superior,E23&lt;heap_virtual_limite_inferior), "OUTLIER", "OK")
</f>
        <v>OK</v>
      </c>
    </row>
    <row r="24">
      <c r="A24" s="3">
        <v>46.0</v>
      </c>
      <c r="B24" s="4">
        <v>3750.09268091554</v>
      </c>
      <c r="C24" s="5">
        <v>0.0369062204389821</v>
      </c>
      <c r="D24" s="6">
        <v>0.58089611351571</v>
      </c>
      <c r="E24" s="6">
        <v>286.381226653262</v>
      </c>
      <c r="F24" s="7" t="str">
        <f>IF(OR($B24&gt;run_virtual_limite_superior, $B24&lt;run_virtual_limite_inferior, $C24&gt;cpu_virtual_limite_superior, $C24&lt;cpu_virtual_limite_inferior,$D24&lt;memoria_virtual_limite_inferior,$D24&gt;memoria_virtual_limite_superior,E24&gt;heap_virtual_limite_superior,E24&lt;heap_virtual_limite_inferior), "OUTLIER", "OK")
</f>
        <v>OUTLIER</v>
      </c>
    </row>
    <row r="25">
      <c r="A25" s="3">
        <v>48.0</v>
      </c>
      <c r="B25" s="4">
        <v>3242.485630248</v>
      </c>
      <c r="C25" s="5">
        <v>0.0353024544027993</v>
      </c>
      <c r="D25" s="6">
        <v>0.397113614581402</v>
      </c>
      <c r="E25" s="6">
        <v>166.943810545122</v>
      </c>
      <c r="F25" s="7" t="str">
        <f>IF(OR($B25&gt;run_virtual_limite_superior, $B25&lt;run_virtual_limite_inferior, $C25&gt;cpu_virtual_limite_superior, $C25&lt;cpu_virtual_limite_inferior,$D25&lt;memoria_virtual_limite_inferior,$D25&gt;memoria_virtual_limite_superior,E25&gt;heap_virtual_limite_superior,E25&lt;heap_virtual_limite_inferior), "OUTLIER", "OK")
</f>
        <v>OK</v>
      </c>
    </row>
    <row r="26">
      <c r="A26" s="3">
        <v>50.0</v>
      </c>
      <c r="B26" s="4">
        <v>2450.02686484108</v>
      </c>
      <c r="C26" s="5">
        <v>0.0259160725887847</v>
      </c>
      <c r="D26" s="6">
        <v>0.658616349074423</v>
      </c>
      <c r="E26" s="6">
        <v>237.377906465182</v>
      </c>
      <c r="F26" s="7" t="str">
        <f>IF(OR($B26&gt;run_virtual_limite_superior, $B26&lt;run_virtual_limite_inferior, $C26&gt;cpu_virtual_limite_superior, $C26&lt;cpu_virtual_limite_inferior,$D26&lt;memoria_virtual_limite_inferior,$D26&gt;memoria_virtual_limite_superior,E26&gt;heap_virtual_limite_superior,E26&lt;heap_virtual_limite_inferior), "OUTLIER", "OK")
</f>
        <v>OUTLIER</v>
      </c>
    </row>
    <row r="27">
      <c r="A27" s="3">
        <v>52.0</v>
      </c>
      <c r="B27" s="4">
        <v>2913.73602541652</v>
      </c>
      <c r="C27" s="5">
        <v>0.0295255827923833</v>
      </c>
      <c r="D27" s="6">
        <v>0.55751315847685</v>
      </c>
      <c r="E27" s="6">
        <v>240.243834665843</v>
      </c>
      <c r="F27" s="7" t="str">
        <f>IF(OR($B27&gt;run_virtual_limite_superior, $B27&lt;run_virtual_limite_inferior, $C27&gt;cpu_virtual_limite_superior, $C27&lt;cpu_virtual_limite_inferior,$D27&lt;memoria_virtual_limite_inferior,$D27&gt;memoria_virtual_limite_superior,E27&gt;heap_virtual_limite_superior,E27&lt;heap_virtual_limite_inferior), "OUTLIER", "OK")
</f>
        <v>OK</v>
      </c>
    </row>
    <row r="28">
      <c r="A28" s="3">
        <v>54.0</v>
      </c>
      <c r="B28" s="4">
        <v>1046.37571706949</v>
      </c>
      <c r="C28" s="5">
        <v>0.0137317561344874</v>
      </c>
      <c r="D28" s="6">
        <v>0.513412102459831</v>
      </c>
      <c r="E28" s="6">
        <v>153.706406649421</v>
      </c>
      <c r="F28" s="7" t="str">
        <f>IF(OR($B28&gt;run_virtual_limite_superior, $B28&lt;run_virtual_limite_inferior, $C28&gt;cpu_virtual_limite_superior, $C28&lt;cpu_virtual_limite_inferior,$D28&lt;memoria_virtual_limite_inferior,$D28&gt;memoria_virtual_limite_superior,E28&gt;heap_virtual_limite_superior,E28&lt;heap_virtual_limite_inferior), "OUTLIER", "OK")
</f>
        <v>OK</v>
      </c>
    </row>
    <row r="29">
      <c r="A29" s="3">
        <v>56.0</v>
      </c>
      <c r="B29" s="4">
        <v>3450.39516720274</v>
      </c>
      <c r="C29" s="5">
        <v>0.0357094974959824</v>
      </c>
      <c r="D29" s="6">
        <v>0.425386677378553</v>
      </c>
      <c r="E29" s="6">
        <v>164.555750285877</v>
      </c>
      <c r="F29" s="7" t="str">
        <f>IF(OR($B29&gt;run_virtual_limite_superior, $B29&lt;run_virtual_limite_inferior, $C29&gt;cpu_virtual_limite_superior, $C29&lt;cpu_virtual_limite_inferior,$D29&lt;memoria_virtual_limite_inferior,$D29&gt;memoria_virtual_limite_superior,E29&gt;heap_virtual_limite_superior,E29&lt;heap_virtual_limite_inferior), "OUTLIER", "OK")
</f>
        <v>OK</v>
      </c>
    </row>
    <row r="30">
      <c r="A30" s="3">
        <v>58.0</v>
      </c>
      <c r="B30" s="4">
        <v>1450.07016193479</v>
      </c>
      <c r="C30" s="5">
        <v>0.0158830499867483</v>
      </c>
      <c r="D30" s="6">
        <v>0.315501424357187</v>
      </c>
      <c r="E30" s="6">
        <v>100.282444055529</v>
      </c>
      <c r="F30" s="7" t="str">
        <f>IF(OR($B30&gt;run_virtual_limite_superior, $B30&lt;run_virtual_limite_inferior, $C30&gt;cpu_virtual_limite_superior, $C30&lt;cpu_virtual_limite_inferior,$D30&lt;memoria_virtual_limite_inferior,$D30&gt;memoria_virtual_limite_superior,E30&gt;heap_virtual_limite_superior,E30&lt;heap_virtual_limite_inferior), "OUTLIER", "OK")
</f>
        <v>OK</v>
      </c>
    </row>
    <row r="31">
      <c r="A31" s="3">
        <v>60.0</v>
      </c>
      <c r="B31" s="4">
        <v>900.037463159366</v>
      </c>
      <c r="C31" s="5">
        <v>0.0131161945681517</v>
      </c>
      <c r="D31" s="6">
        <v>0.447691108366641</v>
      </c>
      <c r="E31" s="6">
        <v>164.589350237165</v>
      </c>
      <c r="F31" s="7" t="str">
        <f>IF(OR($B31&gt;run_virtual_limite_superior, $B31&lt;run_virtual_limite_inferior, $C31&gt;cpu_virtual_limite_superior, $C31&lt;cpu_virtual_limite_inferior,$D31&lt;memoria_virtual_limite_inferior,$D31&gt;memoria_virtual_limite_superior,E31&gt;heap_virtual_limite_superior,E31&lt;heap_virtual_limite_inferior), "OUTLIER", "OK")
</f>
        <v>OK</v>
      </c>
    </row>
    <row r="32">
      <c r="A32" s="3">
        <v>62.0</v>
      </c>
      <c r="B32" s="3">
        <v>800.141591535769</v>
      </c>
      <c r="C32" s="5">
        <v>0.00298105894130434</v>
      </c>
      <c r="D32" s="6">
        <v>0.2154194643526</v>
      </c>
      <c r="E32" s="6">
        <v>41.6866226196289</v>
      </c>
      <c r="F32" s="7" t="str">
        <f>IF(OR($B76&gt;run_virtual_limite_superior, $B76&lt;run_virtual_limite_inferior, $C32&gt;cpu_virtual_limite_superior, $C32&lt;cpu_virtual_limite_inferior,$D32&lt;memoria_virtual_limite_inferior,$D32&gt;memoria_virtual_limite_superior,E32&gt;heap_virtual_limite_superior,E32&lt;heap_virtual_limite_inferior), "OUTLIER", "OK")
</f>
        <v>OUTLIER</v>
      </c>
    </row>
    <row r="33">
      <c r="A33" s="3">
        <v>64.0</v>
      </c>
      <c r="B33" s="4">
        <v>4549.87740218843</v>
      </c>
      <c r="C33" s="5">
        <v>0.0440581251561865</v>
      </c>
      <c r="D33" s="6">
        <v>0.504747119076481</v>
      </c>
      <c r="E33" s="6">
        <v>228.251171473799</v>
      </c>
      <c r="F33" s="7" t="str">
        <f>IF(OR($B33&gt;run_virtual_limite_superior, $B33&lt;run_virtual_limite_inferior, $C33&gt;cpu_virtual_limite_superior, $C33&lt;cpu_virtual_limite_inferior,$D33&lt;memoria_virtual_limite_inferior,$D33&gt;memoria_virtual_limite_superior,E33&gt;heap_virtual_limite_superior,E33&lt;heap_virtual_limite_inferior), "OUTLIER", "OK")
</f>
        <v>OUTLIER</v>
      </c>
    </row>
    <row r="34">
      <c r="A34" s="3">
        <v>66.0</v>
      </c>
      <c r="B34" s="4">
        <v>2800.08862529524</v>
      </c>
      <c r="C34" s="5">
        <v>0.0283447247543063</v>
      </c>
      <c r="D34" s="6">
        <v>0.473124592218124</v>
      </c>
      <c r="E34" s="6">
        <v>213.36385261829</v>
      </c>
      <c r="F34" s="7" t="str">
        <f>IF(OR($B34&gt;run_virtual_limite_superior, $B34&lt;run_virtual_limite_inferior, $C34&gt;cpu_virtual_limite_superior, $C34&lt;cpu_virtual_limite_inferior,$D34&lt;memoria_virtual_limite_inferior,$D34&gt;memoria_virtual_limite_superior,E34&gt;heap_virtual_limite_superior,E34&lt;heap_virtual_limite_inferior), "OUTLIER", "OK")
</f>
        <v>OK</v>
      </c>
    </row>
    <row r="35">
      <c r="A35" s="3">
        <v>68.0</v>
      </c>
      <c r="B35" s="4">
        <v>2586.00557144932</v>
      </c>
      <c r="C35" s="5">
        <v>0.0274897319044827</v>
      </c>
      <c r="D35" s="6">
        <v>0.529659909168692</v>
      </c>
      <c r="E35" s="6">
        <v>242.45960351137</v>
      </c>
      <c r="F35" s="7" t="str">
        <f>IF(OR($B35&gt;run_virtual_limite_superior, $B35&lt;run_virtual_limite_inferior, $C35&gt;cpu_virtual_limite_superior, $C35&lt;cpu_virtual_limite_inferior,$D35&lt;memoria_virtual_limite_inferior,$D35&gt;memoria_virtual_limite_superior,E35&gt;heap_virtual_limite_superior,E35&lt;heap_virtual_limite_inferior), "OUTLIER", "OK")
</f>
        <v>OK</v>
      </c>
    </row>
    <row r="36">
      <c r="A36" s="3">
        <v>70.0</v>
      </c>
      <c r="B36" s="4">
        <v>1000.05561139245</v>
      </c>
      <c r="C36" s="5">
        <v>0.0153948807296612</v>
      </c>
      <c r="D36" s="6">
        <v>0.25730217619552</v>
      </c>
      <c r="E36" s="6">
        <v>73.3747907028984</v>
      </c>
      <c r="F36" s="7" t="str">
        <f>IF(OR($B36&gt;run_virtual_limite_superior, $B36&lt;run_virtual_limite_inferior, $C36&gt;cpu_virtual_limite_superior, $C36&lt;cpu_virtual_limite_inferior,$D36&lt;memoria_virtual_limite_inferior,$D36&gt;memoria_virtual_limite_superior,E36&gt;heap_virtual_limite_superior,E36&lt;heap_virtual_limite_inferior), "OUTLIER", "OK")
</f>
        <v>OUTLIER</v>
      </c>
    </row>
    <row r="37">
      <c r="A37" s="3">
        <v>72.0</v>
      </c>
      <c r="B37" s="4">
        <v>2550.01434672332</v>
      </c>
      <c r="C37" s="5">
        <v>0.0253428618114748</v>
      </c>
      <c r="D37" s="6">
        <v>0.453059188138773</v>
      </c>
      <c r="E37" s="6">
        <v>206.296501607547</v>
      </c>
      <c r="F37" s="7" t="str">
        <f>IF(OR($B37&gt;run_virtual_limite_superior, $B37&lt;run_virtual_limite_inferior, $C37&gt;cpu_virtual_limite_superior, $C37&lt;cpu_virtual_limite_inferior,$D37&lt;memoria_virtual_limite_inferior,$D37&gt;memoria_virtual_limite_superior,E37&gt;heap_virtual_limite_superior,E37&lt;heap_virtual_limite_inferior), "OUTLIER", "OK")
</f>
        <v>OK</v>
      </c>
    </row>
    <row r="38">
      <c r="A38" s="3">
        <v>74.0</v>
      </c>
      <c r="B38" s="4">
        <v>1500.06911523446</v>
      </c>
      <c r="C38" s="5">
        <v>0.0186272009394324</v>
      </c>
      <c r="D38" s="6">
        <v>0.567193016128642</v>
      </c>
      <c r="E38" s="6">
        <v>183.313587052481</v>
      </c>
      <c r="F38" s="7" t="str">
        <f>IF(OR($B38&gt;run_virtual_limite_superior, $B38&lt;run_virtual_limite_inferior, $C38&gt;cpu_virtual_limite_superior, $C38&lt;cpu_virtual_limite_inferior,$D38&lt;memoria_virtual_limite_inferior,$D38&gt;memoria_virtual_limite_superior,E38&gt;heap_virtual_limite_superior,E38&lt;heap_virtual_limite_inferior), "OUTLIER", "OK")
</f>
        <v>OK</v>
      </c>
    </row>
    <row r="39">
      <c r="A39" s="3">
        <v>76.0</v>
      </c>
      <c r="B39" s="4">
        <v>3179.39577406517</v>
      </c>
      <c r="C39" s="5">
        <v>0.0306219165361932</v>
      </c>
      <c r="D39" s="6">
        <v>0.649270737648923</v>
      </c>
      <c r="E39" s="6">
        <v>267.753981311764</v>
      </c>
      <c r="F39" s="7" t="str">
        <f>IF(OR($B39&gt;run_virtual_limite_superior, $B39&lt;run_virtual_limite_inferior, $C39&gt;cpu_virtual_limite_superior, $C39&lt;cpu_virtual_limite_inferior,$D39&lt;memoria_virtual_limite_inferior,$D39&gt;memoria_virtual_limite_superior,E39&gt;heap_virtual_limite_superior,E39&lt;heap_virtual_limite_inferior), "OUTLIER", "OK")
</f>
        <v>OUTLIER</v>
      </c>
    </row>
    <row r="40">
      <c r="A40" s="3">
        <v>78.0</v>
      </c>
      <c r="B40" s="4">
        <v>1700.00514557557</v>
      </c>
      <c r="C40" s="5">
        <v>0.0208441964872098</v>
      </c>
      <c r="D40" s="6">
        <v>0.540432533338103</v>
      </c>
      <c r="E40" s="6">
        <v>210.143377279933</v>
      </c>
      <c r="F40" s="7" t="str">
        <f>IF(OR($B40&gt;run_virtual_limite_superior, $B40&lt;run_virtual_limite_inferior, $C40&gt;cpu_virtual_limite_superior, $C40&lt;cpu_virtual_limite_inferior,$D40&lt;memoria_virtual_limite_inferior,$D40&gt;memoria_virtual_limite_superior,E40&gt;heap_virtual_limite_superior,E40&lt;heap_virtual_limite_inferior), "OUTLIER", "OK")
</f>
        <v>OK</v>
      </c>
    </row>
    <row r="41">
      <c r="A41" s="3">
        <v>80.0</v>
      </c>
      <c r="B41" s="4">
        <v>4849.69817554354</v>
      </c>
      <c r="C41" s="5">
        <v>0.0446164231655614</v>
      </c>
      <c r="D41" s="6">
        <v>0.540685581779813</v>
      </c>
      <c r="E41" s="6">
        <v>233.201083384675</v>
      </c>
      <c r="F41" s="7" t="str">
        <f>IF(OR($B41&gt;run_virtual_limite_superior, $B41&lt;run_virtual_limite_inferior, $C41&gt;cpu_virtual_limite_superior, $C41&lt;cpu_virtual_limite_inferior,$D41&lt;memoria_virtual_limite_inferior,$D41&gt;memoria_virtual_limite_superior,E41&gt;heap_virtual_limite_superior,E41&lt;heap_virtual_limite_inferior), "OUTLIER", "OK")
</f>
        <v>OUTLIER</v>
      </c>
    </row>
    <row r="42">
      <c r="A42" s="3">
        <v>82.0</v>
      </c>
      <c r="B42" s="4">
        <v>3200.06689835853</v>
      </c>
      <c r="C42" s="5">
        <v>0.0331521555375636</v>
      </c>
      <c r="D42" s="6">
        <v>0.510928468995698</v>
      </c>
      <c r="E42" s="6">
        <v>202.885044411915</v>
      </c>
      <c r="F42" s="7" t="str">
        <f>IF(OR($B42&gt;run_virtual_limite_superior, $B42&lt;run_virtual_limite_inferior, $C42&gt;cpu_virtual_limite_superior, $C42&lt;cpu_virtual_limite_inferior,$D42&lt;memoria_virtual_limite_inferior,$D42&gt;memoria_virtual_limite_superior,E42&gt;heap_virtual_limite_superior,E42&lt;heap_virtual_limite_inferior), "OUTLIER", "OK")
</f>
        <v>OK</v>
      </c>
    </row>
    <row r="43">
      <c r="A43" s="3">
        <v>84.0</v>
      </c>
      <c r="B43" s="4">
        <v>2250.09364777257</v>
      </c>
      <c r="C43" s="5">
        <v>0.0236215356871613</v>
      </c>
      <c r="D43" s="6">
        <v>0.827005066759424</v>
      </c>
      <c r="E43" s="6">
        <v>298.660843894595</v>
      </c>
      <c r="F43" s="7" t="str">
        <f>IF(OR($B43&gt;run_virtual_limite_superior, $B43&lt;run_virtual_limite_inferior, $C43&gt;cpu_virtual_limite_superior, $C43&lt;cpu_virtual_limite_inferior,$D43&lt;memoria_virtual_limite_inferior,$D43&gt;memoria_virtual_limite_superior,E43&gt;heap_virtual_limite_superior,E43&lt;heap_virtual_limite_inferior), "OUTLIER", "OK")
</f>
        <v>OUTLIER</v>
      </c>
    </row>
    <row r="44">
      <c r="A44" s="3">
        <v>86.0</v>
      </c>
      <c r="B44" s="4">
        <v>1099.92960417535</v>
      </c>
      <c r="C44" s="5">
        <v>0.015244711095523</v>
      </c>
      <c r="D44" s="6">
        <v>0.480720316388739</v>
      </c>
      <c r="E44" s="6">
        <v>147.278269645495</v>
      </c>
      <c r="F44" s="7" t="str">
        <f>IF(OR($B44&gt;run_virtual_limite_superior, $B44&lt;run_virtual_limite_inferior, $C44&gt;cpu_virtual_limite_superior, $C44&lt;cpu_virtual_limite_inferior,$D44&lt;memoria_virtual_limite_inferior,$D44&gt;memoria_virtual_limite_superior,E44&gt;heap_virtual_limite_superior,E44&lt;heap_virtual_limite_inferior), "OUTLIER", "OK")
</f>
        <v>OK</v>
      </c>
    </row>
    <row r="45">
      <c r="A45" s="3">
        <v>88.0</v>
      </c>
      <c r="B45" s="4">
        <v>600.111531508275</v>
      </c>
      <c r="C45" s="5">
        <v>0.00844058512983285</v>
      </c>
      <c r="D45" s="6">
        <v>0.562988507898612</v>
      </c>
      <c r="E45" s="6">
        <v>151.384953718919</v>
      </c>
      <c r="F45" s="7" t="str">
        <f>IF(OR($B45&gt;run_virtual_limite_superior, $B45&lt;run_virtual_limite_inferior, $C45&gt;cpu_virtual_limite_superior, $C45&lt;cpu_virtual_limite_inferior,$D45&lt;memoria_virtual_limite_inferior,$D45&gt;memoria_virtual_limite_superior,E45&gt;heap_virtual_limite_superior,E45&lt;heap_virtual_limite_inferior), "OUTLIER", "OK")
</f>
        <v>OK</v>
      </c>
    </row>
    <row r="46">
      <c r="A46" s="3">
        <v>90.0</v>
      </c>
      <c r="B46" s="4">
        <v>950.038490144401</v>
      </c>
      <c r="C46" s="5">
        <v>0.0111592758991525</v>
      </c>
      <c r="D46" s="6">
        <v>0.363760019771728</v>
      </c>
      <c r="E46" s="6">
        <v>136.149717288547</v>
      </c>
      <c r="F46" s="7" t="str">
        <f>IF(OR($B46&gt;run_virtual_limite_superior, $B46&lt;run_virtual_limite_inferior, $C46&gt;cpu_virtual_limite_superior, $C46&lt;cpu_virtual_limite_inferior,$D46&lt;memoria_virtual_limite_inferior,$D46&gt;memoria_virtual_limite_superior,E46&gt;heap_virtual_limite_superior,E46&lt;heap_virtual_limite_inferior), "OUTLIER", "OK")
</f>
        <v>OK</v>
      </c>
    </row>
    <row r="47">
      <c r="A47" s="3">
        <v>92.0</v>
      </c>
      <c r="B47" s="4">
        <v>2250.08164684126</v>
      </c>
      <c r="C47" s="5">
        <v>0.0244770793122863</v>
      </c>
      <c r="D47" s="6">
        <v>0.601973639790325</v>
      </c>
      <c r="E47" s="6">
        <v>239.364125042426</v>
      </c>
      <c r="F47" s="7" t="str">
        <f>IF(OR($B47&gt;run_virtual_limite_superior, $B47&lt;run_virtual_limite_inferior, $C47&gt;cpu_virtual_limite_superior, $C47&lt;cpu_virtual_limite_inferior,$D47&lt;memoria_virtual_limite_inferior,$D47&gt;memoria_virtual_limite_superior,E47&gt;heap_virtual_limite_superior,E47&lt;heap_virtual_limite_inferior), "OUTLIER", "OK")
</f>
        <v>OK</v>
      </c>
    </row>
    <row r="48">
      <c r="A48" s="3">
        <v>94.0</v>
      </c>
      <c r="B48" s="4">
        <v>3549.82638301964</v>
      </c>
      <c r="C48" s="5">
        <v>0.0337051192337009</v>
      </c>
      <c r="D48" s="6">
        <v>0.49257508816172</v>
      </c>
      <c r="E48" s="6">
        <v>207.561832311018</v>
      </c>
      <c r="F48" s="7" t="str">
        <f>IF(OR($B48&gt;run_virtual_limite_superior, $B48&lt;run_virtual_limite_inferior, $C48&gt;cpu_virtual_limite_superior, $C48&lt;cpu_virtual_limite_inferior,$D48&lt;memoria_virtual_limite_inferior,$D48&gt;memoria_virtual_limite_superior,E48&gt;heap_virtual_limite_superior,E48&lt;heap_virtual_limite_inferior), "OUTLIER", "OK")
</f>
        <v>OK</v>
      </c>
    </row>
    <row r="49">
      <c r="A49" s="3">
        <v>96.0</v>
      </c>
      <c r="B49" s="4">
        <v>1750.10153529075</v>
      </c>
      <c r="C49" s="5">
        <v>0.0206283691294145</v>
      </c>
      <c r="D49" s="6">
        <v>0.394082645387445</v>
      </c>
      <c r="E49" s="6">
        <v>166.215610411859</v>
      </c>
      <c r="F49" s="7" t="str">
        <f>IF(OR($B49&gt;run_virtual_limite_superior, $B49&lt;run_virtual_limite_inferior, $C49&gt;cpu_virtual_limite_superior, $C49&lt;cpu_virtual_limite_inferior,$D49&lt;memoria_virtual_limite_inferior,$D49&gt;memoria_virtual_limite_superior,E49&gt;heap_virtual_limite_superior,E49&lt;heap_virtual_limite_inferior), "OUTLIER", "OK")
</f>
        <v>OK</v>
      </c>
    </row>
    <row r="50">
      <c r="A50" s="3">
        <v>98.0</v>
      </c>
      <c r="B50" s="4">
        <v>1100.05917581326</v>
      </c>
      <c r="C50" s="5">
        <v>0.0135866106593475</v>
      </c>
      <c r="D50" s="6">
        <v>0.471028709603571</v>
      </c>
      <c r="E50" s="6">
        <v>175.861622042772</v>
      </c>
      <c r="F50" s="7" t="str">
        <f>IF(OR($B50&gt;run_virtual_limite_superior, $B50&lt;run_virtual_limite_inferior, $C50&gt;cpu_virtual_limite_superior, $C50&lt;cpu_virtual_limite_inferior,$D50&lt;memoria_virtual_limite_inferior,$D50&gt;memoria_virtual_limite_superior,E50&gt;heap_virtual_limite_superior,E50&lt;heap_virtual_limite_inferior), "OUTLIER", "OK")
</f>
        <v>OK</v>
      </c>
    </row>
    <row r="51">
      <c r="A51" s="3">
        <v>100.0</v>
      </c>
      <c r="B51" s="4">
        <v>1798.96340477767</v>
      </c>
      <c r="C51" s="5">
        <v>0.021064185664472</v>
      </c>
      <c r="D51" s="6">
        <v>0.47403199964435</v>
      </c>
      <c r="E51" s="6">
        <v>187.791335769321</v>
      </c>
      <c r="F51" s="7" t="str">
        <f>IF(OR($B51&gt;run_virtual_limite_superior, $B51&lt;run_virtual_limite_inferior, $C51&gt;cpu_virtual_limite_superior, $C51&lt;cpu_virtual_limite_inferior,$D51&lt;memoria_virtual_limite_inferior,$D51&gt;memoria_virtual_limite_superior,E51&gt;heap_virtual_limite_superior,E51&lt;heap_virtual_limite_inferior), "OUTLIER", "OK")
</f>
        <v>OK</v>
      </c>
    </row>
    <row r="54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2" t="s">
        <v>5</v>
      </c>
    </row>
    <row r="55">
      <c r="A55" s="3">
        <v>1.0</v>
      </c>
      <c r="B55" s="4">
        <v>2399.92501617396</v>
      </c>
      <c r="C55" s="5">
        <v>0.042268417548334</v>
      </c>
      <c r="D55" s="6">
        <v>0.696550382262227</v>
      </c>
      <c r="E55" s="6">
        <v>289.405679862337</v>
      </c>
      <c r="F55" s="7" t="str">
        <f>IF(OR($B55&gt;run_tradicional_limite_superior, $B55&lt;run_tradicional_limite_inferior,$C55&gt;cpu_tradicional_limite_superior, $C55&lt;cpu_tradicional_limite_inferior,$D55&gt;memoria_tradicional_limite_superior,$D55&lt;memoria_tradicional_limite_inferior,$E55&gt;heap_tradicional_limite_superior,$E55&lt;heap_tradicional_limite_inferior),"OUTLIER", "OK")</f>
        <v>OUTLIER</v>
      </c>
    </row>
    <row r="56">
      <c r="A56" s="3">
        <v>3.0</v>
      </c>
      <c r="B56" s="4">
        <v>2700.10810732223</v>
      </c>
      <c r="C56" s="5">
        <v>0.0478483710874781</v>
      </c>
      <c r="D56" s="6">
        <v>0.586409563862568</v>
      </c>
      <c r="E56" s="6">
        <v>272.498703907557</v>
      </c>
      <c r="F56" s="7" t="str">
        <f>IF(OR($B56&gt;run_tradicional_limite_superior, $B56&lt;run_tradicional_limite_inferior,$C56&gt;cpu_tradicional_limite_superior, $C56&lt;cpu_tradicional_limite_inferior,$D56&gt;memoria_tradicional_limite_superior,$D56&lt;memoria_tradicional_limite_inferior,$E56&gt;heap_tradicional_limite_superior,$E56&lt;heap_tradicional_limite_inferior),"OUTLIER", "OK")</f>
        <v>OK</v>
      </c>
    </row>
    <row r="57">
      <c r="A57" s="3">
        <v>5.0</v>
      </c>
      <c r="B57" s="4">
        <v>2250.10375520928</v>
      </c>
      <c r="C57" s="5">
        <v>0.043554261256984</v>
      </c>
      <c r="D57" s="6">
        <v>0.754645849378482</v>
      </c>
      <c r="E57" s="6">
        <v>312.883947077805</v>
      </c>
      <c r="F57" s="7" t="str">
        <f>IF(OR($B57&gt;run_tradicional_limite_superior, $B57&lt;run_tradicional_limite_inferior,$C57&gt;cpu_tradicional_limite_superior, $C57&lt;cpu_tradicional_limite_inferior,$D57&gt;memoria_tradicional_limite_superior,$D57&lt;memoria_tradicional_limite_inferior,$E57&gt;heap_tradicional_limite_superior,$E57&lt;heap_tradicional_limite_inferior),"OUTLIER", "OK")</f>
        <v>OUTLIER</v>
      </c>
    </row>
    <row r="58">
      <c r="A58" s="3">
        <v>7.0</v>
      </c>
      <c r="B58" s="4">
        <v>1750.08781993183</v>
      </c>
      <c r="C58" s="5">
        <v>0.0356302257635406</v>
      </c>
      <c r="D58" s="6">
        <v>0.452527603645465</v>
      </c>
      <c r="E58" s="6">
        <v>187.082972075808</v>
      </c>
      <c r="F58" s="7" t="str">
        <f>IF(OR($B58&gt;run_tradicional_limite_superior, $B58&lt;run_tradicional_limite_inferior,$C58&gt;cpu_tradicional_limite_superior, $C58&lt;cpu_tradicional_limite_inferior,$D58&gt;memoria_tradicional_limite_superior,$D58&lt;memoria_tradicional_limite_inferior,$E58&gt;heap_tradicional_limite_superior,$E58&lt;heap_tradicional_limite_inferior),"OUTLIER", "OK")</f>
        <v>OK</v>
      </c>
    </row>
    <row r="59">
      <c r="A59" s="3">
        <v>9.0</v>
      </c>
      <c r="B59" s="4">
        <v>1800.06806659516</v>
      </c>
      <c r="C59" s="5">
        <v>0.0409843800038135</v>
      </c>
      <c r="D59" s="6">
        <v>0.433634167617147</v>
      </c>
      <c r="E59" s="6">
        <v>168.080363078289</v>
      </c>
      <c r="F59" s="7" t="str">
        <f>IF(OR($B59&gt;run_tradicional_limite_superior, $B59&lt;run_tradicional_limite_inferior,$C59&gt;cpu_tradicional_limite_superior, $C59&lt;cpu_tradicional_limite_inferior,$D59&gt;memoria_tradicional_limite_superior,$D59&lt;memoria_tradicional_limite_inferior,$E59&gt;heap_tradicional_limite_superior,$E59&lt;heap_tradicional_limite_inferior),"OUTLIER", "OK")</f>
        <v>OK</v>
      </c>
    </row>
    <row r="60">
      <c r="A60" s="3">
        <v>11.0</v>
      </c>
      <c r="B60" s="4">
        <v>1249.56733368522</v>
      </c>
      <c r="C60" s="5">
        <v>0.0274085775384202</v>
      </c>
      <c r="D60" s="6">
        <v>0.366823263262986</v>
      </c>
      <c r="E60" s="6">
        <v>132.48260443195</v>
      </c>
      <c r="F60" s="7" t="str">
        <f>IF(OR($B60&gt;run_tradicional_limite_superior, $B60&lt;run_tradicional_limite_inferior,$C60&gt;cpu_tradicional_limite_superior, $C60&lt;cpu_tradicional_limite_inferior,$D60&gt;memoria_tradicional_limite_superior,$D60&lt;memoria_tradicional_limite_inferior,$E60&gt;heap_tradicional_limite_superior,$E60&lt;heap_tradicional_limite_inferior),"OUTLIER", "OK")</f>
        <v>OK</v>
      </c>
    </row>
    <row r="61">
      <c r="A61" s="3">
        <v>13.0</v>
      </c>
      <c r="B61" s="4">
        <v>3150.09660868653</v>
      </c>
      <c r="C61" s="5">
        <v>0.0563260264535505</v>
      </c>
      <c r="D61" s="6">
        <v>0.528003508974983</v>
      </c>
      <c r="E61" s="6">
        <v>257.61830611935</v>
      </c>
      <c r="F61" s="7" t="str">
        <f>IF(OR($B61&gt;run_tradicional_limite_superior, $B61&lt;run_tradicional_limite_inferior,$C61&gt;cpu_tradicional_limite_superior, $C61&lt;cpu_tradicional_limite_inferior,$D61&gt;memoria_tradicional_limite_superior,$D61&lt;memoria_tradicional_limite_inferior,$E61&gt;heap_tradicional_limite_superior,$E61&lt;heap_tradicional_limite_inferior),"OUTLIER", "OK")</f>
        <v>OK</v>
      </c>
    </row>
    <row r="62">
      <c r="A62" s="3">
        <v>15.0</v>
      </c>
      <c r="B62" s="4">
        <v>4000.01895728984</v>
      </c>
      <c r="C62" s="5">
        <v>0.0674620022473019</v>
      </c>
      <c r="D62" s="6">
        <v>0.471378900221378</v>
      </c>
      <c r="E62" s="6">
        <v>206.245869286316</v>
      </c>
      <c r="F62" s="7" t="str">
        <f>IF(OR($B62&gt;run_tradicional_limite_superior, $B62&lt;run_tradicional_limite_inferior,$C62&gt;cpu_tradicional_limite_superior, $C62&lt;cpu_tradicional_limite_inferior,$D62&gt;memoria_tradicional_limite_superior,$D62&lt;memoria_tradicional_limite_inferior,$E62&gt;heap_tradicional_limite_superior,$E62&lt;heap_tradicional_limite_inferior),"OUTLIER", "OK")</f>
        <v>OUTLIER</v>
      </c>
    </row>
    <row r="63">
      <c r="A63" s="3">
        <v>17.0</v>
      </c>
      <c r="B63" s="4">
        <v>2716.43621876971</v>
      </c>
      <c r="C63" s="5">
        <v>0.0554817834276286</v>
      </c>
      <c r="D63" s="6">
        <v>0.587915162730969</v>
      </c>
      <c r="E63" s="6">
        <v>241.637311948056</v>
      </c>
      <c r="F63" s="7" t="str">
        <f>IF(OR($B63&gt;run_tradicional_limite_superior, $B63&lt;run_tradicional_limite_inferior,$C63&gt;cpu_tradicional_limite_superior, $C63&lt;cpu_tradicional_limite_inferior,$D63&gt;memoria_tradicional_limite_superior,$D63&lt;memoria_tradicional_limite_inferior,$E63&gt;heap_tradicional_limite_superior,$E63&lt;heap_tradicional_limite_inferior),"OUTLIER", "OK")</f>
        <v>OK</v>
      </c>
    </row>
    <row r="64">
      <c r="A64" s="3">
        <v>19.0</v>
      </c>
      <c r="B64" s="4">
        <v>1497.93076084605</v>
      </c>
      <c r="C64" s="5">
        <v>0.0320480682417472</v>
      </c>
      <c r="D64" s="6">
        <v>0.433116244804361</v>
      </c>
      <c r="E64" s="6">
        <v>178.515213577835</v>
      </c>
      <c r="F64" s="7" t="str">
        <f>IF(OR($B64&gt;run_tradicional_limite_superior, $B64&lt;run_tradicional_limite_inferior,$C64&gt;cpu_tradicional_limite_superior, $C64&lt;cpu_tradicional_limite_inferior,$D64&gt;memoria_tradicional_limite_superior,$D64&lt;memoria_tradicional_limite_inferior,$E64&gt;heap_tradicional_limite_superior,$E64&lt;heap_tradicional_limite_inferior),"OUTLIER", "OK")</f>
        <v>OK</v>
      </c>
    </row>
    <row r="65">
      <c r="A65" s="3">
        <v>21.0</v>
      </c>
      <c r="B65" s="4">
        <v>899.159975551881</v>
      </c>
      <c r="C65" s="5">
        <v>0.0223744357917878</v>
      </c>
      <c r="D65" s="6">
        <v>0.543996453659157</v>
      </c>
      <c r="E65" s="6">
        <v>215.61971687203</v>
      </c>
      <c r="F65" s="7" t="str">
        <f>IF(OR($B65&gt;run_tradicional_limite_superior, $B65&lt;run_tradicional_limite_inferior,$C65&gt;cpu_tradicional_limite_superior, $C65&lt;cpu_tradicional_limite_inferior,$D65&gt;memoria_tradicional_limite_superior,$D65&lt;memoria_tradicional_limite_inferior,$E65&gt;heap_tradicional_limite_superior,$E65&lt;heap_tradicional_limite_inferior),"OUTLIER", "OK")</f>
        <v>OK</v>
      </c>
    </row>
    <row r="66">
      <c r="A66" s="3">
        <v>23.0</v>
      </c>
      <c r="B66" s="4">
        <v>1150.13685397915</v>
      </c>
      <c r="C66" s="5">
        <v>0.0273814683038932</v>
      </c>
      <c r="D66" s="6">
        <v>0.442308962759887</v>
      </c>
      <c r="E66" s="6">
        <v>179.955565531319</v>
      </c>
      <c r="F66" s="7" t="str">
        <f>IF(OR($B66&gt;run_tradicional_limite_superior, $B66&lt;run_tradicional_limite_inferior,$C66&gt;cpu_tradicional_limite_superior, $C66&lt;cpu_tradicional_limite_inferior,$D66&gt;memoria_tradicional_limite_superior,$D66&lt;memoria_tradicional_limite_inferior,$E66&gt;heap_tradicional_limite_superior,$E66&lt;heap_tradicional_limite_inferior),"OUTLIER", "OK")</f>
        <v>OK</v>
      </c>
    </row>
    <row r="67">
      <c r="A67" s="3">
        <v>25.0</v>
      </c>
      <c r="B67" s="4">
        <v>1645.92752479138</v>
      </c>
      <c r="C67" s="5">
        <v>0.035663205147454</v>
      </c>
      <c r="D67" s="6">
        <v>0.536685898984413</v>
      </c>
      <c r="E67" s="6">
        <v>221.867356863081</v>
      </c>
      <c r="F67" s="7" t="str">
        <f>IF(OR($B67&gt;run_tradicional_limite_superior, $B67&lt;run_tradicional_limite_inferior,$C67&gt;cpu_tradicional_limite_superior, $C67&lt;cpu_tradicional_limite_inferior,$D67&gt;memoria_tradicional_limite_superior,$D67&lt;memoria_tradicional_limite_inferior,$E67&gt;heap_tradicional_limite_superior,$E67&lt;heap_tradicional_limite_inferior),"OUTLIER", "OK")</f>
        <v>OK</v>
      </c>
    </row>
    <row r="68">
      <c r="A68" s="3">
        <v>27.0</v>
      </c>
      <c r="B68" s="4">
        <v>751.099053426246</v>
      </c>
      <c r="C68" s="5">
        <v>0.0189654177567796</v>
      </c>
      <c r="D68" s="6">
        <v>0.563964736696475</v>
      </c>
      <c r="E68" s="6">
        <v>198.407641226785</v>
      </c>
      <c r="F68" s="7" t="str">
        <f>IF(OR($B68&gt;run_tradicional_limite_superior, $B68&lt;run_tradicional_limite_inferior,$C68&gt;cpu_tradicional_limite_superior, $C68&lt;cpu_tradicional_limite_inferior,$D68&gt;memoria_tradicional_limite_superior,$D68&lt;memoria_tradicional_limite_inferior,$E68&gt;heap_tradicional_limite_superior,$E68&lt;heap_tradicional_limite_inferior),"OUTLIER", "OK")</f>
        <v>OK</v>
      </c>
    </row>
    <row r="69">
      <c r="A69" s="3">
        <v>29.0</v>
      </c>
      <c r="B69" s="4">
        <v>3400.19677062015</v>
      </c>
      <c r="C69" s="5">
        <v>0.0587567301281141</v>
      </c>
      <c r="D69" s="6">
        <v>0.559083481669917</v>
      </c>
      <c r="E69" s="6">
        <v>272.42053963728</v>
      </c>
      <c r="F69" s="7" t="str">
        <f>IF(OR($B69&gt;run_tradicional_limite_superior, $B69&lt;run_tradicional_limite_inferior,$C69&gt;cpu_tradicional_limite_superior, $C69&lt;cpu_tradicional_limite_inferior,$D69&gt;memoria_tradicional_limite_superior,$D69&lt;memoria_tradicional_limite_inferior,$E69&gt;heap_tradicional_limite_superior,$E69&lt;heap_tradicional_limite_inferior),"OUTLIER", "OK")</f>
        <v>OK</v>
      </c>
    </row>
    <row r="70">
      <c r="A70" s="3">
        <v>31.0</v>
      </c>
      <c r="B70" s="4">
        <v>4348.75864945276</v>
      </c>
      <c r="C70" s="5">
        <v>0.0721880649247071</v>
      </c>
      <c r="D70" s="6">
        <v>0.47324465223635</v>
      </c>
      <c r="E70" s="6">
        <v>191.637810787223</v>
      </c>
      <c r="F70" s="7" t="str">
        <f>IF(OR($B70&gt;run_tradicional_limite_superior, $B70&lt;run_tradicional_limite_inferior,$C70&gt;cpu_tradicional_limite_superior, $C70&lt;cpu_tradicional_limite_inferior,$D70&gt;memoria_tradicional_limite_superior,$D70&lt;memoria_tradicional_limite_inferior,$E70&gt;heap_tradicional_limite_superior,$E70&lt;heap_tradicional_limite_inferior),"OUTLIER", "OK")</f>
        <v>OUTLIER</v>
      </c>
    </row>
    <row r="71">
      <c r="A71" s="3">
        <v>33.0</v>
      </c>
      <c r="B71" s="4">
        <v>2875.56165748079</v>
      </c>
      <c r="C71" s="5">
        <v>0.0526175208044421</v>
      </c>
      <c r="D71" s="6">
        <v>0.489366383007449</v>
      </c>
      <c r="E71" s="6">
        <v>207.796422760721</v>
      </c>
      <c r="F71" s="7" t="str">
        <f>IF(OR($B71&gt;run_tradicional_limite_superior, $B71&lt;run_tradicional_limite_inferior,$C71&gt;cpu_tradicional_limite_superior, $C71&lt;cpu_tradicional_limite_inferior,$D71&gt;memoria_tradicional_limite_superior,$D71&lt;memoria_tradicional_limite_inferior,$E71&gt;heap_tradicional_limite_superior,$E71&lt;heap_tradicional_limite_inferior),"OUTLIER", "OK")</f>
        <v>OK</v>
      </c>
    </row>
    <row r="72">
      <c r="A72" s="3">
        <v>35.0</v>
      </c>
      <c r="B72" s="4">
        <v>2300.16101583162</v>
      </c>
      <c r="C72" s="5">
        <v>0.0452312530480271</v>
      </c>
      <c r="D72" s="6">
        <v>0.366425498358188</v>
      </c>
      <c r="E72" s="6">
        <v>134.501835269128</v>
      </c>
      <c r="F72" s="7" t="str">
        <f>IF(OR($B72&gt;run_tradicional_limite_superior, $B72&lt;run_tradicional_limite_inferior,$C72&gt;cpu_tradicional_limite_superior, $C72&lt;cpu_tradicional_limite_inferior,$D72&gt;memoria_tradicional_limite_superior,$D72&lt;memoria_tradicional_limite_inferior,$E72&gt;heap_tradicional_limite_superior,$E72&lt;heap_tradicional_limite_inferior),"OUTLIER", "OK")</f>
        <v>OK</v>
      </c>
    </row>
    <row r="73">
      <c r="A73" s="3">
        <v>37.0</v>
      </c>
      <c r="B73" s="4">
        <v>1500.07975023984</v>
      </c>
      <c r="C73" s="5">
        <v>0.0345153126717546</v>
      </c>
      <c r="D73" s="6">
        <v>0.383191906338066</v>
      </c>
      <c r="E73" s="6">
        <v>137.383804901301</v>
      </c>
      <c r="F73" s="7" t="str">
        <f>IF(OR($B73&gt;run_tradicional_limite_superior, $B73&lt;run_tradicional_limite_inferior,$C73&gt;cpu_tradicional_limite_superior, $C73&lt;cpu_tradicional_limite_inferior,$D73&gt;memoria_tradicional_limite_superior,$D73&lt;memoria_tradicional_limite_inferior,$E73&gt;heap_tradicional_limite_superior,$E73&lt;heap_tradicional_limite_inferior),"OUTLIER", "OK")</f>
        <v>OK</v>
      </c>
    </row>
    <row r="74">
      <c r="A74" s="3">
        <v>39.0</v>
      </c>
      <c r="B74" s="4">
        <v>700.086613175591</v>
      </c>
      <c r="C74" s="5">
        <v>0.0205899134125</v>
      </c>
      <c r="D74" s="6">
        <v>0.307331741153936</v>
      </c>
      <c r="E74" s="6">
        <v>91.5500594429347</v>
      </c>
      <c r="F74" s="7" t="str">
        <f>IF(OR($B74&gt;run_tradicional_limite_superior, $B74&lt;run_tradicional_limite_inferior,$C74&gt;cpu_tradicional_limite_superior, $C74&lt;cpu_tradicional_limite_inferior,$D74&gt;memoria_tradicional_limite_superior,$D74&lt;memoria_tradicional_limite_inferior,$E74&gt;heap_tradicional_limite_superior,$E74&lt;heap_tradicional_limite_inferior),"OUTLIER", "OK")</f>
        <v>OK</v>
      </c>
    </row>
    <row r="75">
      <c r="A75" s="3">
        <v>41.0</v>
      </c>
      <c r="B75" s="4">
        <v>1900.061706784</v>
      </c>
      <c r="C75" s="5">
        <v>0.0429193526736531</v>
      </c>
      <c r="D75" s="6">
        <v>0.483227513366428</v>
      </c>
      <c r="E75" s="6">
        <v>212.420603147694</v>
      </c>
      <c r="F75" s="7" t="str">
        <f>IF(OR($B75&gt;run_tradicional_limite_superior, $B75&lt;run_tradicional_limite_inferior,$C75&gt;cpu_tradicional_limite_superior, $C75&lt;cpu_tradicional_limite_inferior,$D75&gt;memoria_tradicional_limite_superior,$D75&lt;memoria_tradicional_limite_inferior,$E75&gt;heap_tradicional_limite_superior,$E75&lt;heap_tradicional_limite_inferior),"OUTLIER", "OK")</f>
        <v>OK</v>
      </c>
    </row>
    <row r="76">
      <c r="A76" s="3">
        <v>43.0</v>
      </c>
      <c r="B76" s="4">
        <v>1398.17245912773</v>
      </c>
      <c r="C76" s="5">
        <v>1.930880499511E-4</v>
      </c>
      <c r="D76" s="6">
        <v>0.36202262721</v>
      </c>
      <c r="E76" s="6">
        <v>107.02539341061</v>
      </c>
      <c r="F76" s="7" t="str">
        <f>IF(OR($B76&gt;run_tradicional_limite_superior, $B76&lt;run_tradicional_limite_inferior,$C76&gt;cpu_tradicional_limite_superior, $C76&lt;cpu_tradicional_limite_inferior,$D76&gt;memoria_tradicional_limite_superior,$D76&lt;memoria_tradicional_limite_inferior,$E76&gt;heap_tradicional_limite_superior,$E76&lt;heap_tradicional_limite_inferior),"OUTLIER", "OK")</f>
        <v>OK</v>
      </c>
    </row>
    <row r="77">
      <c r="A77" s="3">
        <v>45.0</v>
      </c>
      <c r="B77" s="4">
        <v>2050.08339718758</v>
      </c>
      <c r="C77" s="5">
        <v>0.0429718880144442</v>
      </c>
      <c r="D77" s="6">
        <v>0.412259229039577</v>
      </c>
      <c r="E77" s="6">
        <v>160.228449642868</v>
      </c>
      <c r="F77" s="7" t="str">
        <f>IF(OR($B77&gt;run_tradicional_limite_superior, $B77&lt;run_tradicional_limite_inferior,$C77&gt;cpu_tradicional_limite_superior, $C77&lt;cpu_tradicional_limite_inferior,$D77&gt;memoria_tradicional_limite_superior,$D77&lt;memoria_tradicional_limite_inferior,$E77&gt;heap_tradicional_limite_superior,$E77&lt;heap_tradicional_limite_inferior),"OUTLIER", "OK")</f>
        <v>OK</v>
      </c>
    </row>
    <row r="78">
      <c r="A78" s="3">
        <v>47.0</v>
      </c>
      <c r="B78" s="4">
        <v>3517.06933176492</v>
      </c>
      <c r="C78" s="5">
        <v>0.063400855828032</v>
      </c>
      <c r="D78" s="6">
        <v>0.585478071479258</v>
      </c>
      <c r="E78" s="6">
        <v>258.702762283868</v>
      </c>
      <c r="F78" s="7" t="str">
        <f>IF(OR($B78&gt;run_tradicional_limite_superior, $B78&lt;run_tradicional_limite_inferior,$C78&gt;cpu_tradicional_limite_superior, $C78&lt;cpu_tradicional_limite_inferior,$D78&gt;memoria_tradicional_limite_superior,$D78&lt;memoria_tradicional_limite_inferior,$E78&gt;heap_tradicional_limite_superior,$E78&lt;heap_tradicional_limite_inferior),"OUTLIER", "OK")</f>
        <v>OK</v>
      </c>
    </row>
    <row r="79">
      <c r="A79" s="3">
        <v>49.0</v>
      </c>
      <c r="B79" s="4">
        <v>1800.12609055206</v>
      </c>
      <c r="C79" s="5">
        <v>0.0409222851892357</v>
      </c>
      <c r="D79" s="6">
        <v>0.336744977262123</v>
      </c>
      <c r="E79" s="6">
        <v>114.597155937781</v>
      </c>
      <c r="F79" s="7" t="str">
        <f>IF(OR($B79&gt;run_tradicional_limite_superior, $B79&lt;run_tradicional_limite_inferior,$C79&gt;cpu_tradicional_limite_superior, $C79&lt;cpu_tradicional_limite_inferior,$D79&gt;memoria_tradicional_limite_superior,$D79&lt;memoria_tradicional_limite_inferior,$E79&gt;heap_tradicional_limite_superior,$E79&lt;heap_tradicional_limite_inferior),"OUTLIER", "OK")</f>
        <v>OK</v>
      </c>
    </row>
    <row r="80">
      <c r="A80" s="3">
        <v>51.0</v>
      </c>
      <c r="B80" s="4">
        <v>900.067879249161</v>
      </c>
      <c r="C80" s="5">
        <v>0.0234371467205492</v>
      </c>
      <c r="D80" s="6">
        <v>0.320163537746135</v>
      </c>
      <c r="E80" s="6">
        <v>102.224404665888</v>
      </c>
      <c r="F80" s="7" t="str">
        <f>IF(OR($B80&gt;run_tradicional_limite_superior, $B80&lt;run_tradicional_limite_inferior,$C80&gt;cpu_tradicional_limite_superior, $C80&lt;cpu_tradicional_limite_inferior,$D80&gt;memoria_tradicional_limite_superior,$D80&lt;memoria_tradicional_limite_inferior,$E80&gt;heap_tradicional_limite_superior,$E80&lt;heap_tradicional_limite_inferior),"OUTLIER", "OK")</f>
        <v>OK</v>
      </c>
    </row>
    <row r="81">
      <c r="A81" s="3">
        <v>53.0</v>
      </c>
      <c r="B81" s="4">
        <v>1841.30066327596</v>
      </c>
      <c r="C81" s="5">
        <v>0.0411301948201651</v>
      </c>
      <c r="D81" s="6">
        <v>0.327442651978441</v>
      </c>
      <c r="E81" s="6">
        <v>109.14510454664</v>
      </c>
      <c r="F81" s="7" t="str">
        <f>IF(OR($B81&gt;run_tradicional_limite_superior, $B81&lt;run_tradicional_limite_inferior,$C81&gt;cpu_tradicional_limite_superior, $C81&lt;cpu_tradicional_limite_inferior,$D81&gt;memoria_tradicional_limite_superior,$D81&lt;memoria_tradicional_limite_inferior,$E81&gt;heap_tradicional_limite_superior,$E81&lt;heap_tradicional_limite_inferior),"OUTLIER", "OK")</f>
        <v>OK</v>
      </c>
    </row>
    <row r="82">
      <c r="A82" s="3">
        <v>55.0</v>
      </c>
      <c r="B82" s="4">
        <v>3370.32405788031</v>
      </c>
      <c r="C82" s="5">
        <v>0.0601655636974444</v>
      </c>
      <c r="D82" s="6">
        <v>0.490985528722486</v>
      </c>
      <c r="E82" s="6">
        <v>210.175955005056</v>
      </c>
      <c r="F82" s="7" t="str">
        <f>IF(OR($B82&gt;run_tradicional_limite_superior, $B82&lt;run_tradicional_limite_inferior,$C82&gt;cpu_tradicional_limite_superior, $C82&lt;cpu_tradicional_limite_inferior,$D82&gt;memoria_tradicional_limite_superior,$D82&lt;memoria_tradicional_limite_inferior,$E82&gt;heap_tradicional_limite_superior,$E82&lt;heap_tradicional_limite_inferior),"OUTLIER", "OK")</f>
        <v>OK</v>
      </c>
    </row>
    <row r="83">
      <c r="A83" s="3">
        <v>57.0</v>
      </c>
      <c r="B83" s="4">
        <v>2750.10811665045</v>
      </c>
      <c r="C83" s="5">
        <v>0.0555856627112848</v>
      </c>
      <c r="D83" s="6">
        <v>0.431090222808325</v>
      </c>
      <c r="E83" s="6">
        <v>167.00324680535</v>
      </c>
      <c r="F83" s="7" t="str">
        <f>IF(OR($B83&gt;run_tradicional_limite_superior, $B83&lt;run_tradicional_limite_inferior,$C83&gt;cpu_tradicional_limite_superior, $C83&lt;cpu_tradicional_limite_inferior,$D83&gt;memoria_tradicional_limite_superior,$D83&lt;memoria_tradicional_limite_inferior,$E83&gt;heap_tradicional_limite_superior,$E83&lt;heap_tradicional_limite_inferior),"OUTLIER", "OK")</f>
        <v>OK</v>
      </c>
    </row>
    <row r="84">
      <c r="A84" s="3">
        <v>59.0</v>
      </c>
      <c r="B84" s="4">
        <v>650.112721939665</v>
      </c>
      <c r="C84" s="5">
        <v>0.0176892445181728</v>
      </c>
      <c r="D84" s="6">
        <v>0.499844822075834</v>
      </c>
      <c r="E84" s="6">
        <v>177.60733622425</v>
      </c>
      <c r="F84" s="7" t="str">
        <f>IF(OR($B84&gt;run_tradicional_limite_superior, $B84&lt;run_tradicional_limite_inferior,$C84&gt;cpu_tradicional_limite_superior, $C84&lt;cpu_tradicional_limite_inferior,$D84&gt;memoria_tradicional_limite_superior,$D84&lt;memoria_tradicional_limite_inferior,$E84&gt;heap_tradicional_limite_superior,$E84&lt;heap_tradicional_limite_inferior),"OUTLIER", "OK")</f>
        <v>OK</v>
      </c>
    </row>
    <row r="85">
      <c r="A85" s="3">
        <v>61.0</v>
      </c>
      <c r="B85" s="4">
        <v>2200.26674471823</v>
      </c>
      <c r="C85" s="5">
        <v>0.0429718880144442</v>
      </c>
      <c r="D85" s="6">
        <v>0.412259229039577</v>
      </c>
      <c r="E85" s="6">
        <v>160.228449642868</v>
      </c>
      <c r="F85" s="7" t="str">
        <f>IF(OR($B85&gt;run_tradicional_limite_superior, $B85&lt;run_tradicional_limite_inferior,$C85&gt;cpu_tradicional_limite_superior, $C85&lt;cpu_tradicional_limite_inferior,$D85&gt;memoria_tradicional_limite_superior,$D85&lt;memoria_tradicional_limite_inferior,$E85&gt;heap_tradicional_limite_superior,$E85&lt;heap_tradicional_limite_inferior),"OUTLIER", "OK")</f>
        <v>OK</v>
      </c>
    </row>
    <row r="86">
      <c r="A86" s="3">
        <v>63.0</v>
      </c>
      <c r="B86" s="4">
        <v>5149.54430352798</v>
      </c>
      <c r="C86" s="5">
        <v>0.0730275411528488</v>
      </c>
      <c r="D86" s="6">
        <v>0.875190420246818</v>
      </c>
      <c r="E86" s="6">
        <v>412.516880811022</v>
      </c>
      <c r="F86" s="7" t="str">
        <f>IF(OR($B86&gt;run_tradicional_limite_superior, $B86&lt;run_tradicional_limite_inferior,$C86&gt;cpu_tradicional_limite_superior, $C86&lt;cpu_tradicional_limite_inferior,$D86&gt;memoria_tradicional_limite_superior,$D86&lt;memoria_tradicional_limite_inferior,$E86&gt;heap_tradicional_limite_superior,$E86&lt;heap_tradicional_limite_inferior),"OUTLIER", "OK")</f>
        <v>OUTLIER</v>
      </c>
    </row>
    <row r="87">
      <c r="A87" s="3">
        <v>65.0</v>
      </c>
      <c r="B87" s="4">
        <v>3410.06187009086</v>
      </c>
      <c r="C87" s="5">
        <v>0.0626537050591841</v>
      </c>
      <c r="D87" s="6">
        <v>0.562143386360506</v>
      </c>
      <c r="E87" s="6">
        <v>253.778760129565</v>
      </c>
      <c r="F87" s="7" t="str">
        <f>IF(OR($B87&gt;run_tradicional_limite_superior, $B87&lt;run_tradicional_limite_inferior,$C87&gt;cpu_tradicional_limite_superior, $C87&lt;cpu_tradicional_limite_inferior,$D87&gt;memoria_tradicional_limite_superior,$D87&lt;memoria_tradicional_limite_inferior,$E87&gt;heap_tradicional_limite_superior,$E87&lt;heap_tradicional_limite_inferior),"OUTLIER", "OK")</f>
        <v>OK</v>
      </c>
    </row>
    <row r="88">
      <c r="A88" s="3">
        <v>67.0</v>
      </c>
      <c r="B88" s="4">
        <v>1150.11881773995</v>
      </c>
      <c r="C88" s="5">
        <v>0.0267960577454153</v>
      </c>
      <c r="D88" s="6">
        <v>0.553175066874016</v>
      </c>
      <c r="E88" s="6">
        <v>240.081684636134</v>
      </c>
      <c r="F88" s="7" t="str">
        <f>IF(OR($B88&gt;run_tradicional_limite_superior, $B88&lt;run_tradicional_limite_inferior,$C88&gt;cpu_tradicional_limite_superior, $C88&lt;cpu_tradicional_limite_inferior,$D88&gt;memoria_tradicional_limite_superior,$D88&lt;memoria_tradicional_limite_inferior,$E88&gt;heap_tradicional_limite_superior,$E88&lt;heap_tradicional_limite_inferior),"OUTLIER", "OK")</f>
        <v>OK</v>
      </c>
    </row>
    <row r="89">
      <c r="A89" s="3">
        <v>69.0</v>
      </c>
      <c r="B89" s="4">
        <v>1986.14674834543</v>
      </c>
      <c r="C89" s="5">
        <v>0.0449923567899907</v>
      </c>
      <c r="D89" s="6">
        <v>0.45630722024527</v>
      </c>
      <c r="E89" s="6">
        <v>179.062849502896</v>
      </c>
      <c r="F89" s="7" t="str">
        <f>IF(OR($B89&gt;run_tradicional_limite_superior, $B89&lt;run_tradicional_limite_inferior,$C89&gt;cpu_tradicional_limite_superior, $C89&lt;cpu_tradicional_limite_inferior,$D89&gt;memoria_tradicional_limite_superior,$D89&lt;memoria_tradicional_limite_inferior,$E89&gt;heap_tradicional_limite_superior,$E89&lt;heap_tradicional_limite_inferior),"OUTLIER", "OK")</f>
        <v>OK</v>
      </c>
    </row>
    <row r="90">
      <c r="A90" s="3">
        <v>71.0</v>
      </c>
      <c r="B90" s="4">
        <v>400.125184845856</v>
      </c>
      <c r="C90" s="5">
        <v>0.0139676775383557</v>
      </c>
      <c r="D90" s="6">
        <v>0.551957257396963</v>
      </c>
      <c r="E90" s="6">
        <v>194.19025435271</v>
      </c>
      <c r="F90" s="7" t="str">
        <f>IF(OR($B90&gt;run_tradicional_limite_superior, $B90&lt;run_tradicional_limite_inferior,$C90&gt;cpu_tradicional_limite_superior, $C90&lt;cpu_tradicional_limite_inferior,$D90&gt;memoria_tradicional_limite_superior,$D90&lt;memoria_tradicional_limite_inferior,$E90&gt;heap_tradicional_limite_superior,$E90&lt;heap_tradicional_limite_inferior),"OUTLIER", "OK")</f>
        <v>OK</v>
      </c>
    </row>
    <row r="91">
      <c r="A91" s="3">
        <v>73.0</v>
      </c>
      <c r="B91" s="4">
        <v>1350.16786812626</v>
      </c>
      <c r="C91" s="5">
        <v>0.0323991768191059</v>
      </c>
      <c r="D91" s="6">
        <v>0.594691902964345</v>
      </c>
      <c r="E91" s="6">
        <v>270.674048264821</v>
      </c>
      <c r="F91" s="7" t="str">
        <f>IF(OR($B91&gt;run_tradicional_limite_superior, $B91&lt;run_tradicional_limite_inferior,$C91&gt;cpu_tradicional_limite_superior, $C91&lt;cpu_tradicional_limite_inferior,$D91&gt;memoria_tradicional_limite_superior,$D91&lt;memoria_tradicional_limite_inferior,$E91&gt;heap_tradicional_limite_superior,$E91&lt;heap_tradicional_limite_inferior),"OUTLIER", "OK")</f>
        <v>OK</v>
      </c>
    </row>
    <row r="92">
      <c r="A92" s="3">
        <v>75.0</v>
      </c>
      <c r="B92" s="4">
        <v>2550.12832956518</v>
      </c>
      <c r="C92" s="5">
        <v>0.0509756473823159</v>
      </c>
      <c r="D92" s="6">
        <v>0.576039992049557</v>
      </c>
      <c r="E92" s="6">
        <v>263.578099769233</v>
      </c>
      <c r="F92" s="7" t="str">
        <f>IF(OR($B92&gt;run_tradicional_limite_superior, $B92&lt;run_tradicional_limite_inferior,$C92&gt;cpu_tradicional_limite_superior, $C92&lt;cpu_tradicional_limite_inferior,$D92&gt;memoria_tradicional_limite_superior,$D92&lt;memoria_tradicional_limite_inferior,$E92&gt;heap_tradicional_limite_superior,$E92&lt;heap_tradicional_limite_inferior),"OUTLIER", "OK")</f>
        <v>OK</v>
      </c>
    </row>
    <row r="93">
      <c r="A93" s="3">
        <v>77.0</v>
      </c>
      <c r="B93" s="4">
        <v>1700.2166546978</v>
      </c>
      <c r="C93" s="5">
        <v>0.033286924594545</v>
      </c>
      <c r="D93" s="6">
        <v>0.540030714467745</v>
      </c>
      <c r="E93" s="6">
        <v>229.402603380607</v>
      </c>
      <c r="F93" s="7" t="str">
        <f>IF(OR($B93&gt;run_tradicional_limite_superior, $B93&lt;run_tradicional_limite_inferior,$C93&gt;cpu_tradicional_limite_superior, $C93&lt;cpu_tradicional_limite_inferior,$D93&gt;memoria_tradicional_limite_superior,$D93&lt;memoria_tradicional_limite_inferior,$E93&gt;heap_tradicional_limite_superior,$E93&lt;heap_tradicional_limite_inferior),"OUTLIER", "OK")</f>
        <v>OK</v>
      </c>
    </row>
    <row r="94">
      <c r="A94" s="3">
        <v>79.0</v>
      </c>
      <c r="B94" s="4">
        <v>3900.07379914646</v>
      </c>
      <c r="C94" s="5">
        <v>0.0632447135863325</v>
      </c>
      <c r="D94" s="6">
        <v>0.613765598623952</v>
      </c>
      <c r="E94" s="6">
        <v>285.486362576704</v>
      </c>
      <c r="F94" s="7" t="str">
        <f>IF(OR($B94&gt;run_tradicional_limite_superior, $B94&lt;run_tradicional_limite_inferior,$C94&gt;cpu_tradicional_limite_superior, $C94&lt;cpu_tradicional_limite_inferior,$D94&gt;memoria_tradicional_limite_superior,$D94&lt;memoria_tradicional_limite_inferior,$E94&gt;heap_tradicional_limite_superior,$E94&lt;heap_tradicional_limite_inferior),"OUTLIER", "OK")</f>
        <v>OK</v>
      </c>
    </row>
    <row r="95">
      <c r="A95" s="3">
        <v>81.0</v>
      </c>
      <c r="B95" s="4">
        <v>4099.72834380048</v>
      </c>
      <c r="C95" s="5">
        <v>0.0686175244682442</v>
      </c>
      <c r="D95" s="6">
        <v>0.446960640096721</v>
      </c>
      <c r="E95" s="6">
        <v>180.48649524131</v>
      </c>
      <c r="F95" s="7" t="str">
        <f>IF(OR($B95&gt;run_tradicional_limite_superior, $B95&lt;run_tradicional_limite_inferior,$C95&gt;cpu_tradicional_limite_superior, $C95&lt;cpu_tradicional_limite_inferior,$D95&gt;memoria_tradicional_limite_superior,$D95&lt;memoria_tradicional_limite_inferior,$E95&gt;heap_tradicional_limite_superior,$E95&lt;heap_tradicional_limite_inferior),"OUTLIER", "OK")</f>
        <v>OUTLIER</v>
      </c>
    </row>
    <row r="96">
      <c r="A96" s="3">
        <v>83.0</v>
      </c>
      <c r="B96" s="4">
        <v>3549.69195240783</v>
      </c>
      <c r="C96" s="5">
        <v>0.062444759023956</v>
      </c>
      <c r="D96" s="6">
        <v>0.466161801298537</v>
      </c>
      <c r="E96" s="6">
        <v>195.024975615662</v>
      </c>
      <c r="F96" s="7" t="str">
        <f>IF(OR($B96&gt;run_tradicional_limite_superior, $B96&lt;run_tradicional_limite_inferior,$C96&gt;cpu_tradicional_limite_superior, $C96&lt;cpu_tradicional_limite_inferior,$D96&gt;memoria_tradicional_limite_superior,$D96&lt;memoria_tradicional_limite_inferior,$E96&gt;heap_tradicional_limite_superior,$E96&lt;heap_tradicional_limite_inferior),"OUTLIER", "OK")</f>
        <v>OK</v>
      </c>
    </row>
    <row r="97">
      <c r="A97" s="3">
        <v>85.0</v>
      </c>
      <c r="B97" s="4">
        <v>3499.99295801416</v>
      </c>
      <c r="C97" s="5">
        <v>0.0554313266570508</v>
      </c>
      <c r="D97" s="6">
        <v>0.577507808214227</v>
      </c>
      <c r="E97" s="6">
        <v>273.179186810503</v>
      </c>
      <c r="F97" s="7" t="str">
        <f>IF(OR($B97&gt;run_tradicional_limite_superior, $B97&lt;run_tradicional_limite_inferior,$C97&gt;cpu_tradicional_limite_superior, $C97&lt;cpu_tradicional_limite_inferior,$D97&gt;memoria_tradicional_limite_superior,$D97&lt;memoria_tradicional_limite_inferior,$E97&gt;heap_tradicional_limite_superior,$E97&lt;heap_tradicional_limite_inferior),"OUTLIER", "OK")</f>
        <v>OK</v>
      </c>
    </row>
    <row r="98">
      <c r="A98" s="3">
        <v>87.0</v>
      </c>
      <c r="B98" s="4">
        <v>900.0491372826</v>
      </c>
      <c r="C98" s="5">
        <v>0.0215988725018897</v>
      </c>
      <c r="D98" s="6">
        <v>0.356182165833099</v>
      </c>
      <c r="E98" s="6">
        <v>124.98735393567</v>
      </c>
      <c r="F98" s="7" t="str">
        <f>IF(OR($B98&gt;run_tradicional_limite_superior, $B98&lt;run_tradicional_limite_inferior,$C98&gt;cpu_tradicional_limite_superior, $C98&lt;cpu_tradicional_limite_inferior,$D98&gt;memoria_tradicional_limite_superior,$D98&lt;memoria_tradicional_limite_inferior,$E98&gt;heap_tradicional_limite_superior,$E98&lt;heap_tradicional_limite_inferior),"OUTLIER", "OK")</f>
        <v>OK</v>
      </c>
    </row>
    <row r="99">
      <c r="A99" s="3">
        <v>89.0</v>
      </c>
      <c r="B99" s="4">
        <v>1099.83425884731</v>
      </c>
      <c r="C99" s="5">
        <v>0.0260482968941714</v>
      </c>
      <c r="D99" s="6">
        <v>0.324283795696362</v>
      </c>
      <c r="E99" s="6">
        <v>113.817554029699</v>
      </c>
      <c r="F99" s="7" t="str">
        <f>IF(OR($B99&gt;run_tradicional_limite_superior, $B99&lt;run_tradicional_limite_inferior,$C99&gt;cpu_tradicional_limite_superior, $C99&lt;cpu_tradicional_limite_inferior,$D99&gt;memoria_tradicional_limite_superior,$D99&lt;memoria_tradicional_limite_inferior,$E99&gt;heap_tradicional_limite_superior,$E99&lt;heap_tradicional_limite_inferior),"OUTLIER", "OK")</f>
        <v>OK</v>
      </c>
    </row>
    <row r="100">
      <c r="A100" s="3">
        <f t="shared" ref="A100:A104" si="1">A99+2</f>
        <v>91</v>
      </c>
      <c r="B100" s="4">
        <v>2131.53262587889</v>
      </c>
      <c r="C100" s="5">
        <v>0.0443767594064497</v>
      </c>
      <c r="D100" s="6">
        <v>0.592331377182597</v>
      </c>
      <c r="E100" s="6">
        <v>249.324078848998</v>
      </c>
      <c r="F100" s="7" t="str">
        <f>IF(OR($B100&gt;run_tradicional_limite_superior, $B100&lt;run_tradicional_limite_inferior,$C100&gt;cpu_tradicional_limite_superior, $C100&lt;cpu_tradicional_limite_inferior,$D100&gt;memoria_tradicional_limite_superior,$D100&lt;memoria_tradicional_limite_inferior,$E100&gt;heap_tradicional_limite_superior,$E100&lt;heap_tradicional_limite_inferior),"OUTLIER", "OK")</f>
        <v>OK</v>
      </c>
    </row>
    <row r="101">
      <c r="A101" s="3">
        <f t="shared" si="1"/>
        <v>93</v>
      </c>
      <c r="B101" s="4">
        <v>3949.93976088362</v>
      </c>
      <c r="C101" s="5">
        <v>0.0645898153478905</v>
      </c>
      <c r="D101" s="6">
        <v>0.431602839273289</v>
      </c>
      <c r="E101" s="6">
        <v>190.407470539554</v>
      </c>
      <c r="F101" s="7" t="str">
        <f>IF(OR($B101&gt;run_tradicional_limite_superior, $B101&lt;run_tradicional_limite_inferior,$C101&gt;cpu_tradicional_limite_superior, $C101&lt;cpu_tradicional_limite_inferior,$D101&gt;memoria_tradicional_limite_superior,$D101&lt;memoria_tradicional_limite_inferior,$E101&gt;heap_tradicional_limite_superior,$E101&lt;heap_tradicional_limite_inferior),"OUTLIER", "OK")</f>
        <v>OUTLIER</v>
      </c>
    </row>
    <row r="102">
      <c r="A102" s="3">
        <f t="shared" si="1"/>
        <v>95</v>
      </c>
      <c r="B102" s="4">
        <v>1450.12213465163</v>
      </c>
      <c r="C102" s="5">
        <v>0.0321122465846414</v>
      </c>
      <c r="D102" s="6">
        <v>0.827595641691044</v>
      </c>
      <c r="E102" s="6">
        <v>317.463209636627</v>
      </c>
      <c r="F102" s="7" t="str">
        <f>IF(OR($B102&gt;run_tradicional_limite_superior, $B102&lt;run_tradicional_limite_inferior,$C102&gt;cpu_tradicional_limite_superior, $C102&lt;cpu_tradicional_limite_inferior,$D102&gt;memoria_tradicional_limite_superior,$D102&lt;memoria_tradicional_limite_inferior,$E102&gt;heap_tradicional_limite_superior,$E102&lt;heap_tradicional_limite_inferior),"OUTLIER", "OK")</f>
        <v>OUTLIER</v>
      </c>
    </row>
    <row r="103">
      <c r="A103" s="3">
        <f t="shared" si="1"/>
        <v>97</v>
      </c>
      <c r="B103" s="4">
        <v>2149.90958120923</v>
      </c>
      <c r="C103" s="5">
        <v>0.0383009470617149</v>
      </c>
      <c r="D103" s="6">
        <v>0.482045106997631</v>
      </c>
      <c r="E103" s="6">
        <v>200.590304814852</v>
      </c>
      <c r="F103" s="7" t="str">
        <f>IF(OR($B103&gt;run_tradicional_limite_superior, $B103&lt;run_tradicional_limite_inferior,$C103&gt;cpu_tradicional_limite_superior, $C103&lt;cpu_tradicional_limite_inferior,$D103&gt;memoria_tradicional_limite_superior,$D103&lt;memoria_tradicional_limite_inferior,$E103&gt;heap_tradicional_limite_superior,$E103&lt;heap_tradicional_limite_inferior),"OUTLIER", "OK")</f>
        <v>OK</v>
      </c>
    </row>
    <row r="104">
      <c r="A104" s="3">
        <f t="shared" si="1"/>
        <v>99</v>
      </c>
      <c r="B104" s="4">
        <v>2100.06904333991</v>
      </c>
      <c r="C104" s="5">
        <v>0.0395401946597942</v>
      </c>
      <c r="D104" s="6">
        <v>0.632312878709867</v>
      </c>
      <c r="E104" s="6">
        <v>254.483716174288</v>
      </c>
      <c r="F104" s="7" t="str">
        <f>IF(OR($B104&gt;run_tradicional_limite_superior, $B104&lt;run_tradicional_limite_inferior,$C104&gt;cpu_tradicional_limite_superior, $C104&lt;cpu_tradicional_limite_inferior,$D104&gt;memoria_tradicional_limite_superior,$D104&lt;memoria_tradicional_limite_inferior,$E104&gt;heap_tradicional_limite_superior,$E104&lt;heap_tradicional_limite_inferior),"OUTLIER", "OK")</f>
        <v>OK</v>
      </c>
    </row>
  </sheetData>
  <dataValidations>
    <dataValidation type="custom" allowBlank="1" showDropDown="1" sqref="B2:E51 B55:E104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2.88"/>
  </cols>
  <sheetData>
    <row r="1">
      <c r="A1" s="8" t="s">
        <v>6</v>
      </c>
      <c r="B1" s="8" t="s">
        <v>7</v>
      </c>
      <c r="C1" s="8" t="s">
        <v>8</v>
      </c>
      <c r="E1" s="8" t="s">
        <v>6</v>
      </c>
      <c r="F1" s="8" t="s">
        <v>7</v>
      </c>
      <c r="G1" s="8" t="s">
        <v>8</v>
      </c>
    </row>
    <row r="2">
      <c r="A2" s="9" t="s">
        <v>9</v>
      </c>
      <c r="B2" s="10">
        <f>QUARTILE(Virtual[rate], 1)</f>
        <v>1700.000234</v>
      </c>
      <c r="C2" s="10">
        <f>QUARTILE(Tradicional[rate], 1)</f>
        <v>1411.159878</v>
      </c>
      <c r="E2" s="9" t="s">
        <v>9</v>
      </c>
      <c r="F2" s="11">
        <f>QUARTILE(Virtual[cpu], 1)</f>
        <v>0.0193234801</v>
      </c>
      <c r="G2" s="11">
        <f>QUARTILE(Tradicional[cpu], 1)</f>
        <v>0.03206411283</v>
      </c>
    </row>
    <row r="3">
      <c r="A3" s="12" t="s">
        <v>10</v>
      </c>
      <c r="B3" s="10">
        <f>QUARTILE(Virtual[rate], 3)</f>
        <v>3050.123035</v>
      </c>
      <c r="C3" s="10">
        <f>QUARTILE(Tradicional[rate], 3)</f>
        <v>3081.462871</v>
      </c>
      <c r="E3" s="12" t="s">
        <v>10</v>
      </c>
      <c r="F3" s="11">
        <f>QUARTILE(Virtual[cpu], 3)</f>
        <v>0.03025732538</v>
      </c>
      <c r="G3" s="11">
        <f>QUARTILE(Tradicional[cpu], 3)</f>
        <v>0.05555969289</v>
      </c>
    </row>
    <row r="4">
      <c r="A4" s="9" t="s">
        <v>11</v>
      </c>
      <c r="B4" s="10">
        <f t="shared" ref="B4:C4" si="1">B3 - B2</f>
        <v>1350.122801</v>
      </c>
      <c r="C4" s="13">
        <f t="shared" si="1"/>
        <v>1670.302993</v>
      </c>
      <c r="E4" s="9" t="s">
        <v>11</v>
      </c>
      <c r="F4" s="11">
        <f t="shared" ref="F4:G4" si="2">F3 - F2</f>
        <v>0.01093384528</v>
      </c>
      <c r="G4" s="14">
        <f t="shared" si="2"/>
        <v>0.02349558006</v>
      </c>
    </row>
    <row r="5">
      <c r="A5" s="12" t="s">
        <v>12</v>
      </c>
      <c r="B5" s="15">
        <f t="shared" ref="B5:C5" si="3">B2 - 1.5 * B4</f>
        <v>-325.1839681</v>
      </c>
      <c r="C5" s="16">
        <f t="shared" si="3"/>
        <v>-1094.294611</v>
      </c>
      <c r="E5" s="12" t="s">
        <v>12</v>
      </c>
      <c r="F5" s="17">
        <f t="shared" ref="F5:G5" si="4">F2 - 1.5 * F4</f>
        <v>0.002922712182</v>
      </c>
      <c r="G5" s="18">
        <f t="shared" si="4"/>
        <v>-0.003179257267</v>
      </c>
    </row>
    <row r="6">
      <c r="A6" s="19" t="s">
        <v>13</v>
      </c>
      <c r="B6" s="20">
        <f t="shared" ref="B6:C6" si="5">B2 + 1.5 * B4</f>
        <v>3725.184436</v>
      </c>
      <c r="C6" s="21">
        <f t="shared" si="5"/>
        <v>3916.614367</v>
      </c>
      <c r="E6" s="19" t="s">
        <v>13</v>
      </c>
      <c r="F6" s="22">
        <f t="shared" ref="F6:G6" si="6">F2 + 1.5 * F4</f>
        <v>0.03572424802</v>
      </c>
      <c r="G6" s="23">
        <f t="shared" si="6"/>
        <v>0.06730748292</v>
      </c>
    </row>
    <row r="9">
      <c r="A9" s="8" t="s">
        <v>6</v>
      </c>
      <c r="B9" s="8" t="s">
        <v>7</v>
      </c>
      <c r="C9" s="8" t="s">
        <v>8</v>
      </c>
      <c r="E9" s="8" t="s">
        <v>6</v>
      </c>
      <c r="F9" s="8" t="s">
        <v>7</v>
      </c>
      <c r="G9" s="8" t="s">
        <v>8</v>
      </c>
    </row>
    <row r="10">
      <c r="A10" s="9" t="s">
        <v>9</v>
      </c>
      <c r="B10" s="10">
        <f>QUARTILE(Virtual[memoria_gb], 1)</f>
        <v>0.4467556766</v>
      </c>
      <c r="C10" s="10">
        <f>QUARTILE(Tradicional[memoria_gb], 1)</f>
        <v>0.4312183769</v>
      </c>
      <c r="E10" s="9" t="s">
        <v>9</v>
      </c>
      <c r="F10" s="10">
        <f>QUARTILE(Virtual[heap_mb], 1)</f>
        <v>165.2584183</v>
      </c>
      <c r="G10" s="10">
        <f>QUARTILE(Tradicional[heap_mb], 1)</f>
        <v>167.2725259</v>
      </c>
    </row>
    <row r="11">
      <c r="A11" s="12" t="s">
        <v>10</v>
      </c>
      <c r="B11" s="10">
        <f>QUARTILE(Virtual[memoria_gb], 3)</f>
        <v>0.554697063</v>
      </c>
      <c r="C11" s="10">
        <f>QUARTILE(Tradicional[memoria_gb], 3)</f>
        <v>0.5730211782</v>
      </c>
      <c r="E11" s="12" t="s">
        <v>10</v>
      </c>
      <c r="F11" s="10">
        <f>QUARTILE(Virtual[heap_mb], 3)</f>
        <v>240.0239073</v>
      </c>
      <c r="G11" s="10">
        <f>QUARTILE(Tradicional[heap_mb], 3)</f>
        <v>254.3074772</v>
      </c>
    </row>
    <row r="12">
      <c r="A12" s="9" t="s">
        <v>11</v>
      </c>
      <c r="B12" s="10">
        <f t="shared" ref="B12:C12" si="7">B11 - B10</f>
        <v>0.1079413864</v>
      </c>
      <c r="C12" s="13">
        <f t="shared" si="7"/>
        <v>0.1418028013</v>
      </c>
      <c r="E12" s="9" t="s">
        <v>11</v>
      </c>
      <c r="F12" s="10">
        <f t="shared" ref="F12:G12" si="8">F11 - F10</f>
        <v>74.76548894</v>
      </c>
      <c r="G12" s="13">
        <f t="shared" si="8"/>
        <v>87.03495129</v>
      </c>
    </row>
    <row r="13">
      <c r="A13" s="12" t="s">
        <v>12</v>
      </c>
      <c r="B13" s="15">
        <f t="shared" ref="B13:C13" si="9">B10 - 1.5 * B12</f>
        <v>0.284843597</v>
      </c>
      <c r="C13" s="16">
        <f t="shared" si="9"/>
        <v>0.218514175</v>
      </c>
      <c r="E13" s="12" t="s">
        <v>12</v>
      </c>
      <c r="F13" s="15">
        <f t="shared" ref="F13:G13" si="10">F10 - 1.5 * F12</f>
        <v>53.1101849</v>
      </c>
      <c r="G13" s="16">
        <f t="shared" si="10"/>
        <v>36.72009894</v>
      </c>
    </row>
    <row r="14">
      <c r="A14" s="19" t="s">
        <v>13</v>
      </c>
      <c r="B14" s="20">
        <f t="shared" ref="B14:C14" si="11">B10 + 1.5 * B12</f>
        <v>0.6086677562</v>
      </c>
      <c r="C14" s="21">
        <f t="shared" si="11"/>
        <v>0.6439225789</v>
      </c>
      <c r="E14" s="19" t="s">
        <v>13</v>
      </c>
      <c r="F14" s="20">
        <f t="shared" ref="F14:G14" si="12">F10 + 1.5 * F12</f>
        <v>277.4066517</v>
      </c>
      <c r="G14" s="21">
        <f t="shared" si="12"/>
        <v>297.8249528</v>
      </c>
    </row>
  </sheetData>
  <dataValidations>
    <dataValidation type="custom" allowBlank="1" showDropDown="1" sqref="F2:G6">
      <formula1>AND(ISNUMBER(F2),(NOT(OR(NOT(ISERROR(DATEVALUE(F2))), AND(ISNUMBER(F2), LEFT(CELL("format", F2))="D")))))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7">
        <f>IFERROR(__xludf.DUMMYFUNCTION("FILTER(Virtual[[run]:[heap_mb]], Virtual[Outliers]=""OK"")
"),2.0)</f>
        <v>2</v>
      </c>
      <c r="B2" s="24">
        <f>IFERROR(__xludf.DUMMYFUNCTION("""COMPUTED_VALUE"""),2400.16473961087)</f>
        <v>2400.16474</v>
      </c>
      <c r="C2" s="25">
        <f>IFERROR(__xludf.DUMMYFUNCTION("""COMPUTED_VALUE"""),0.025656128152627)</f>
        <v>0.02565612815</v>
      </c>
      <c r="D2" s="26">
        <f>IFERROR(__xludf.DUMMYFUNCTION("""COMPUTED_VALUE"""),0.508350453133825)</f>
        <v>0.5083504531</v>
      </c>
      <c r="E2" s="26">
        <f>IFERROR(__xludf.DUMMYFUNCTION("""COMPUTED_VALUE"""),229.241020242167)</f>
        <v>229.2410202</v>
      </c>
    </row>
    <row r="3">
      <c r="A3" s="7">
        <f>IFERROR(__xludf.DUMMYFUNCTION("""COMPUTED_VALUE"""),6.0)</f>
        <v>6</v>
      </c>
      <c r="B3" s="24">
        <f>IFERROR(__xludf.DUMMYFUNCTION("""COMPUTED_VALUE"""),3050.15242024378)</f>
        <v>3050.15242</v>
      </c>
      <c r="C3" s="25">
        <f>IFERROR(__xludf.DUMMYFUNCTION("""COMPUTED_VALUE"""),0.0293794720736326)</f>
        <v>0.02937947207</v>
      </c>
      <c r="D3" s="26">
        <f>IFERROR(__xludf.DUMMYFUNCTION("""COMPUTED_VALUE"""),0.537854833970683)</f>
        <v>0.537854834</v>
      </c>
      <c r="E3" s="26">
        <f>IFERROR(__xludf.DUMMYFUNCTION("""COMPUTED_VALUE"""),265.497382822344)</f>
        <v>265.4973828</v>
      </c>
    </row>
    <row r="4">
      <c r="A4" s="7">
        <f>IFERROR(__xludf.DUMMYFUNCTION("""COMPUTED_VALUE"""),8.0)</f>
        <v>8</v>
      </c>
      <c r="B4" s="24">
        <f>IFERROR(__xludf.DUMMYFUNCTION("""COMPUTED_VALUE"""),2812.38945663305)</f>
        <v>2812.389457</v>
      </c>
      <c r="C4" s="25">
        <f>IFERROR(__xludf.DUMMYFUNCTION("""COMPUTED_VALUE"""),0.029001068779167)</f>
        <v>0.02900106878</v>
      </c>
      <c r="D4" s="26">
        <f>IFERROR(__xludf.DUMMYFUNCTION("""COMPUTED_VALUE"""),0.520425557474043)</f>
        <v>0.5204255575</v>
      </c>
      <c r="E4" s="26">
        <f>IFERROR(__xludf.DUMMYFUNCTION("""COMPUTED_VALUE"""),241.171490366496)</f>
        <v>241.1714904</v>
      </c>
    </row>
    <row r="5">
      <c r="A5" s="7">
        <f>IFERROR(__xludf.DUMMYFUNCTION("""COMPUTED_VALUE"""),18.0)</f>
        <v>18</v>
      </c>
      <c r="B5" s="24">
        <f>IFERROR(__xludf.DUMMYFUNCTION("""COMPUTED_VALUE"""),2300.11816811086)</f>
        <v>2300.118168</v>
      </c>
      <c r="C5" s="25">
        <f>IFERROR(__xludf.DUMMYFUNCTION("""COMPUTED_VALUE"""),0.0251343773043789)</f>
        <v>0.0251343773</v>
      </c>
      <c r="D5" s="26">
        <f>IFERROR(__xludf.DUMMYFUNCTION("""COMPUTED_VALUE"""),0.493944756528561)</f>
        <v>0.4939447565</v>
      </c>
      <c r="E5" s="26">
        <f>IFERROR(__xludf.DUMMYFUNCTION("""COMPUTED_VALUE"""),201.792971486058)</f>
        <v>201.7929715</v>
      </c>
    </row>
    <row r="6">
      <c r="A6" s="7">
        <f>IFERROR(__xludf.DUMMYFUNCTION("""COMPUTED_VALUE"""),20.0)</f>
        <v>20</v>
      </c>
      <c r="B6" s="24">
        <f>IFERROR(__xludf.DUMMYFUNCTION("""COMPUTED_VALUE"""),2500.29083833083)</f>
        <v>2500.290838</v>
      </c>
      <c r="C6" s="25">
        <f>IFERROR(__xludf.DUMMYFUNCTION("""COMPUTED_VALUE"""),0.0267187975017545)</f>
        <v>0.0267187975</v>
      </c>
      <c r="D6" s="26">
        <f>IFERROR(__xludf.DUMMYFUNCTION("""COMPUTED_VALUE"""),0.446443866000277)</f>
        <v>0.446443866</v>
      </c>
      <c r="E6" s="26">
        <f>IFERROR(__xludf.DUMMYFUNCTION("""COMPUTED_VALUE"""),187.154872573049)</f>
        <v>187.1548726</v>
      </c>
    </row>
    <row r="7">
      <c r="A7" s="7">
        <f>IFERROR(__xludf.DUMMYFUNCTION("""COMPUTED_VALUE"""),22.0)</f>
        <v>22</v>
      </c>
      <c r="B7" s="24">
        <f>IFERROR(__xludf.DUMMYFUNCTION("""COMPUTED_VALUE"""),2650.2598658009)</f>
        <v>2650.259866</v>
      </c>
      <c r="C7" s="25">
        <f>IFERROR(__xludf.DUMMYFUNCTION("""COMPUTED_VALUE"""),0.0270420309235981)</f>
        <v>0.02704203092</v>
      </c>
      <c r="D7" s="26">
        <f>IFERROR(__xludf.DUMMYFUNCTION("""COMPUTED_VALUE"""),0.521097106766393)</f>
        <v>0.5210971068</v>
      </c>
      <c r="E7" s="26">
        <f>IFERROR(__xludf.DUMMYFUNCTION("""COMPUTED_VALUE"""),215.079676553874)</f>
        <v>215.0796766</v>
      </c>
    </row>
    <row r="8">
      <c r="A8" s="7">
        <f>IFERROR(__xludf.DUMMYFUNCTION("""COMPUTED_VALUE"""),24.0)</f>
        <v>24</v>
      </c>
      <c r="B8" s="24">
        <f>IFERROR(__xludf.DUMMYFUNCTION("""COMPUTED_VALUE"""),1699.99859646091)</f>
        <v>1699.998596</v>
      </c>
      <c r="C8" s="25">
        <f>IFERROR(__xludf.DUMMYFUNCTION("""COMPUTED_VALUE"""),0.0200785352288945)</f>
        <v>0.02007853523</v>
      </c>
      <c r="D8" s="26">
        <f>IFERROR(__xludf.DUMMYFUNCTION("""COMPUTED_VALUE"""),0.546248776573011)</f>
        <v>0.5462487766</v>
      </c>
      <c r="E8" s="26">
        <f>IFERROR(__xludf.DUMMYFUNCTION("""COMPUTED_VALUE"""),223.657092935898)</f>
        <v>223.6570929</v>
      </c>
    </row>
    <row r="9">
      <c r="A9" s="7">
        <f>IFERROR(__xludf.DUMMYFUNCTION("""COMPUTED_VALUE"""),26.0)</f>
        <v>26</v>
      </c>
      <c r="B9" s="24">
        <f>IFERROR(__xludf.DUMMYFUNCTION("""COMPUTED_VALUE"""),2172.14604163253)</f>
        <v>2172.146042</v>
      </c>
      <c r="C9" s="25">
        <f>IFERROR(__xludf.DUMMYFUNCTION("""COMPUTED_VALUE"""),0.0190717950586729)</f>
        <v>0.01907179506</v>
      </c>
      <c r="D9" s="26">
        <f>IFERROR(__xludf.DUMMYFUNCTION("""COMPUTED_VALUE"""),0.519338865617576)</f>
        <v>0.5193388656</v>
      </c>
      <c r="E9" s="26">
        <f>IFERROR(__xludf.DUMMYFUNCTION("""COMPUTED_VALUE"""),198.497380894938)</f>
        <v>198.4973809</v>
      </c>
    </row>
    <row r="10">
      <c r="A10" s="7">
        <f>IFERROR(__xludf.DUMMYFUNCTION("""COMPUTED_VALUE"""),28.0)</f>
        <v>28</v>
      </c>
      <c r="B10" s="24">
        <f>IFERROR(__xludf.DUMMYFUNCTION("""COMPUTED_VALUE"""),2150.12610726132)</f>
        <v>2150.126107</v>
      </c>
      <c r="C10" s="25">
        <f>IFERROR(__xludf.DUMMYFUNCTION("""COMPUTED_VALUE"""),0.0223563316002524)</f>
        <v>0.0223563316</v>
      </c>
      <c r="D10" s="26">
        <f>IFERROR(__xludf.DUMMYFUNCTION("""COMPUTED_VALUE"""),0.571959598085633)</f>
        <v>0.5719595981</v>
      </c>
      <c r="E10" s="26">
        <f>IFERROR(__xludf.DUMMYFUNCTION("""COMPUTED_VALUE"""),252.335015787661)</f>
        <v>252.3350158</v>
      </c>
    </row>
    <row r="11">
      <c r="A11" s="7">
        <f>IFERROR(__xludf.DUMMYFUNCTION("""COMPUTED_VALUE"""),32.0)</f>
        <v>32</v>
      </c>
      <c r="B11" s="24">
        <f>IFERROR(__xludf.DUMMYFUNCTION("""COMPUTED_VALUE"""),2450.16662933069)</f>
        <v>2450.166629</v>
      </c>
      <c r="C11" s="25">
        <f>IFERROR(__xludf.DUMMYFUNCTION("""COMPUTED_VALUE"""),0.0247793398313917)</f>
        <v>0.02477933983</v>
      </c>
      <c r="D11" s="26">
        <f>IFERROR(__xludf.DUMMYFUNCTION("""COMPUTED_VALUE"""),0.473920258222699)</f>
        <v>0.4739202582</v>
      </c>
      <c r="E11" s="26">
        <f>IFERROR(__xludf.DUMMYFUNCTION("""COMPUTED_VALUE"""),192.051260948181)</f>
        <v>192.0512609</v>
      </c>
    </row>
    <row r="12">
      <c r="A12" s="7">
        <f>IFERROR(__xludf.DUMMYFUNCTION("""COMPUTED_VALUE"""),34.0)</f>
        <v>34</v>
      </c>
      <c r="B12" s="24">
        <f>IFERROR(__xludf.DUMMYFUNCTION("""COMPUTED_VALUE"""),1800.1838156893)</f>
        <v>1800.183816</v>
      </c>
      <c r="C12" s="25">
        <f>IFERROR(__xludf.DUMMYFUNCTION("""COMPUTED_VALUE"""),0.0224766231504992)</f>
        <v>0.02247662315</v>
      </c>
      <c r="D12" s="26">
        <f>IFERROR(__xludf.DUMMYFUNCTION("""COMPUTED_VALUE"""),0.397349001098981)</f>
        <v>0.3973490011</v>
      </c>
      <c r="E12" s="26">
        <f>IFERROR(__xludf.DUMMYFUNCTION("""COMPUTED_VALUE"""),152.48830452261)</f>
        <v>152.4883045</v>
      </c>
    </row>
    <row r="13">
      <c r="A13" s="7">
        <f>IFERROR(__xludf.DUMMYFUNCTION("""COMPUTED_VALUE"""),38.0)</f>
        <v>38</v>
      </c>
      <c r="B13" s="24">
        <f>IFERROR(__xludf.DUMMYFUNCTION("""COMPUTED_VALUE"""),600.086387116099)</f>
        <v>600.0863871</v>
      </c>
      <c r="C13" s="25">
        <f>IFERROR(__xludf.DUMMYFUNCTION("""COMPUTED_VALUE"""),0.0106875234192356)</f>
        <v>0.01068752342</v>
      </c>
      <c r="D13" s="26">
        <f>IFERROR(__xludf.DUMMYFUNCTION("""COMPUTED_VALUE"""),0.309908093782895)</f>
        <v>0.3099080938</v>
      </c>
      <c r="E13" s="26">
        <f>IFERROR(__xludf.DUMMYFUNCTION("""COMPUTED_VALUE"""),88.4348994168368)</f>
        <v>88.43489942</v>
      </c>
    </row>
    <row r="14">
      <c r="A14" s="7">
        <f>IFERROR(__xludf.DUMMYFUNCTION("""COMPUTED_VALUE"""),40.0)</f>
        <v>40</v>
      </c>
      <c r="B14" s="24">
        <f>IFERROR(__xludf.DUMMYFUNCTION("""COMPUTED_VALUE"""),2350.03479085505)</f>
        <v>2350.034791</v>
      </c>
      <c r="C14" s="25">
        <f>IFERROR(__xludf.DUMMYFUNCTION("""COMPUTED_VALUE"""),0.0259291709567248)</f>
        <v>0.02592917096</v>
      </c>
      <c r="D14" s="26">
        <f>IFERROR(__xludf.DUMMYFUNCTION("""COMPUTED_VALUE"""),0.417729913802474)</f>
        <v>0.4177299138</v>
      </c>
      <c r="E14" s="26">
        <f>IFERROR(__xludf.DUMMYFUNCTION("""COMPUTED_VALUE"""),170.025393410616)</f>
        <v>170.0253934</v>
      </c>
    </row>
    <row r="15">
      <c r="A15" s="7">
        <f>IFERROR(__xludf.DUMMYFUNCTION("""COMPUTED_VALUE"""),42.0)</f>
        <v>42</v>
      </c>
      <c r="B15" s="24">
        <f>IFERROR(__xludf.DUMMYFUNCTION("""COMPUTED_VALUE"""),950.045347944566)</f>
        <v>950.0453479</v>
      </c>
      <c r="C15" s="25">
        <f>IFERROR(__xludf.DUMMYFUNCTION("""COMPUTED_VALUE"""),0.0118003265054372)</f>
        <v>0.01180032651</v>
      </c>
      <c r="D15" s="26">
        <f>IFERROR(__xludf.DUMMYFUNCTION("""COMPUTED_VALUE"""),0.381309262572125)</f>
        <v>0.3813092626</v>
      </c>
      <c r="E15" s="26">
        <f>IFERROR(__xludf.DUMMYFUNCTION("""COMPUTED_VALUE"""),107.084897677103)</f>
        <v>107.0848977</v>
      </c>
    </row>
    <row r="16">
      <c r="A16" s="7">
        <f>IFERROR(__xludf.DUMMYFUNCTION("""COMPUTED_VALUE"""),44.0)</f>
        <v>44</v>
      </c>
      <c r="B16" s="24">
        <f>IFERROR(__xludf.DUMMYFUNCTION("""COMPUTED_VALUE"""),2200.26896439863)</f>
        <v>2200.268964</v>
      </c>
      <c r="C16" s="25">
        <f>IFERROR(__xludf.DUMMYFUNCTION("""COMPUTED_VALUE"""),0.0244347434051494)</f>
        <v>0.02443474341</v>
      </c>
      <c r="D16" s="26">
        <f>IFERROR(__xludf.DUMMYFUNCTION("""COMPUTED_VALUE"""),0.526020050136818)</f>
        <v>0.5260200501</v>
      </c>
      <c r="E16" s="26">
        <f>IFERROR(__xludf.DUMMYFUNCTION("""COMPUTED_VALUE"""),228.724038511514)</f>
        <v>228.7240385</v>
      </c>
    </row>
    <row r="17">
      <c r="A17" s="7">
        <f>IFERROR(__xludf.DUMMYFUNCTION("""COMPUTED_VALUE"""),48.0)</f>
        <v>48</v>
      </c>
      <c r="B17" s="24">
        <f>IFERROR(__xludf.DUMMYFUNCTION("""COMPUTED_VALUE"""),3242.485630248)</f>
        <v>3242.48563</v>
      </c>
      <c r="C17" s="25">
        <f>IFERROR(__xludf.DUMMYFUNCTION("""COMPUTED_VALUE"""),0.0353024544027993)</f>
        <v>0.0353024544</v>
      </c>
      <c r="D17" s="26">
        <f>IFERROR(__xludf.DUMMYFUNCTION("""COMPUTED_VALUE"""),0.397113614581402)</f>
        <v>0.3971136146</v>
      </c>
      <c r="E17" s="26">
        <f>IFERROR(__xludf.DUMMYFUNCTION("""COMPUTED_VALUE"""),166.943810545122)</f>
        <v>166.9438105</v>
      </c>
    </row>
    <row r="18">
      <c r="A18" s="7">
        <f>IFERROR(__xludf.DUMMYFUNCTION("""COMPUTED_VALUE"""),52.0)</f>
        <v>52</v>
      </c>
      <c r="B18" s="24">
        <f>IFERROR(__xludf.DUMMYFUNCTION("""COMPUTED_VALUE"""),2913.73602541652)</f>
        <v>2913.736025</v>
      </c>
      <c r="C18" s="25">
        <f>IFERROR(__xludf.DUMMYFUNCTION("""COMPUTED_VALUE"""),0.0295255827923833)</f>
        <v>0.02952558279</v>
      </c>
      <c r="D18" s="26">
        <f>IFERROR(__xludf.DUMMYFUNCTION("""COMPUTED_VALUE"""),0.55751315847685)</f>
        <v>0.5575131585</v>
      </c>
      <c r="E18" s="26">
        <f>IFERROR(__xludf.DUMMYFUNCTION("""COMPUTED_VALUE"""),240.243834665843)</f>
        <v>240.2438347</v>
      </c>
    </row>
    <row r="19">
      <c r="A19" s="7">
        <f>IFERROR(__xludf.DUMMYFUNCTION("""COMPUTED_VALUE"""),54.0)</f>
        <v>54</v>
      </c>
      <c r="B19" s="24">
        <f>IFERROR(__xludf.DUMMYFUNCTION("""COMPUTED_VALUE"""),1046.37571706949)</f>
        <v>1046.375717</v>
      </c>
      <c r="C19" s="25">
        <f>IFERROR(__xludf.DUMMYFUNCTION("""COMPUTED_VALUE"""),0.0137317561344874)</f>
        <v>0.01373175613</v>
      </c>
      <c r="D19" s="26">
        <f>IFERROR(__xludf.DUMMYFUNCTION("""COMPUTED_VALUE"""),0.513412102459831)</f>
        <v>0.5134121025</v>
      </c>
      <c r="E19" s="26">
        <f>IFERROR(__xludf.DUMMYFUNCTION("""COMPUTED_VALUE"""),153.706406649421)</f>
        <v>153.7064066</v>
      </c>
    </row>
    <row r="20">
      <c r="A20" s="7">
        <f>IFERROR(__xludf.DUMMYFUNCTION("""COMPUTED_VALUE"""),56.0)</f>
        <v>56</v>
      </c>
      <c r="B20" s="24">
        <f>IFERROR(__xludf.DUMMYFUNCTION("""COMPUTED_VALUE"""),3450.39516720274)</f>
        <v>3450.395167</v>
      </c>
      <c r="C20" s="25">
        <f>IFERROR(__xludf.DUMMYFUNCTION("""COMPUTED_VALUE"""),0.0357094974959824)</f>
        <v>0.0357094975</v>
      </c>
      <c r="D20" s="26">
        <f>IFERROR(__xludf.DUMMYFUNCTION("""COMPUTED_VALUE"""),0.425386677378553)</f>
        <v>0.4253866774</v>
      </c>
      <c r="E20" s="26">
        <f>IFERROR(__xludf.DUMMYFUNCTION("""COMPUTED_VALUE"""),164.555750285877)</f>
        <v>164.5557503</v>
      </c>
    </row>
    <row r="21">
      <c r="A21" s="7">
        <f>IFERROR(__xludf.DUMMYFUNCTION("""COMPUTED_VALUE"""),58.0)</f>
        <v>58</v>
      </c>
      <c r="B21" s="24">
        <f>IFERROR(__xludf.DUMMYFUNCTION("""COMPUTED_VALUE"""),1450.07016193479)</f>
        <v>1450.070162</v>
      </c>
      <c r="C21" s="25">
        <f>IFERROR(__xludf.DUMMYFUNCTION("""COMPUTED_VALUE"""),0.0158830499867483)</f>
        <v>0.01588304999</v>
      </c>
      <c r="D21" s="26">
        <f>IFERROR(__xludf.DUMMYFUNCTION("""COMPUTED_VALUE"""),0.315501424357187)</f>
        <v>0.3155014244</v>
      </c>
      <c r="E21" s="26">
        <f>IFERROR(__xludf.DUMMYFUNCTION("""COMPUTED_VALUE"""),100.282444055529)</f>
        <v>100.2824441</v>
      </c>
    </row>
    <row r="22">
      <c r="A22" s="7">
        <f>IFERROR(__xludf.DUMMYFUNCTION("""COMPUTED_VALUE"""),60.0)</f>
        <v>60</v>
      </c>
      <c r="B22" s="24">
        <f>IFERROR(__xludf.DUMMYFUNCTION("""COMPUTED_VALUE"""),900.037463159366)</f>
        <v>900.0374632</v>
      </c>
      <c r="C22" s="25">
        <f>IFERROR(__xludf.DUMMYFUNCTION("""COMPUTED_VALUE"""),0.0131161945681517)</f>
        <v>0.01311619457</v>
      </c>
      <c r="D22" s="26">
        <f>IFERROR(__xludf.DUMMYFUNCTION("""COMPUTED_VALUE"""),0.447691108366641)</f>
        <v>0.4476911084</v>
      </c>
      <c r="E22" s="26">
        <f>IFERROR(__xludf.DUMMYFUNCTION("""COMPUTED_VALUE"""),164.589350237165)</f>
        <v>164.5893502</v>
      </c>
    </row>
    <row r="23">
      <c r="A23" s="7">
        <f>IFERROR(__xludf.DUMMYFUNCTION("""COMPUTED_VALUE"""),66.0)</f>
        <v>66</v>
      </c>
      <c r="B23" s="24">
        <f>IFERROR(__xludf.DUMMYFUNCTION("""COMPUTED_VALUE"""),2800.08862529524)</f>
        <v>2800.088625</v>
      </c>
      <c r="C23" s="25">
        <f>IFERROR(__xludf.DUMMYFUNCTION("""COMPUTED_VALUE"""),0.0283447247543063)</f>
        <v>0.02834472475</v>
      </c>
      <c r="D23" s="26">
        <f>IFERROR(__xludf.DUMMYFUNCTION("""COMPUTED_VALUE"""),0.473124592218124)</f>
        <v>0.4731245922</v>
      </c>
      <c r="E23" s="26">
        <f>IFERROR(__xludf.DUMMYFUNCTION("""COMPUTED_VALUE"""),213.36385261829)</f>
        <v>213.3638526</v>
      </c>
    </row>
    <row r="24">
      <c r="A24" s="7">
        <f>IFERROR(__xludf.DUMMYFUNCTION("""COMPUTED_VALUE"""),68.0)</f>
        <v>68</v>
      </c>
      <c r="B24" s="24">
        <f>IFERROR(__xludf.DUMMYFUNCTION("""COMPUTED_VALUE"""),2586.00557144932)</f>
        <v>2586.005571</v>
      </c>
      <c r="C24" s="25">
        <f>IFERROR(__xludf.DUMMYFUNCTION("""COMPUTED_VALUE"""),0.0274897319044827)</f>
        <v>0.0274897319</v>
      </c>
      <c r="D24" s="26">
        <f>IFERROR(__xludf.DUMMYFUNCTION("""COMPUTED_VALUE"""),0.529659909168692)</f>
        <v>0.5296599092</v>
      </c>
      <c r="E24" s="26">
        <f>IFERROR(__xludf.DUMMYFUNCTION("""COMPUTED_VALUE"""),242.45960351137)</f>
        <v>242.4596035</v>
      </c>
    </row>
    <row r="25">
      <c r="A25" s="7">
        <f>IFERROR(__xludf.DUMMYFUNCTION("""COMPUTED_VALUE"""),72.0)</f>
        <v>72</v>
      </c>
      <c r="B25" s="24">
        <f>IFERROR(__xludf.DUMMYFUNCTION("""COMPUTED_VALUE"""),2550.01434672332)</f>
        <v>2550.014347</v>
      </c>
      <c r="C25" s="25">
        <f>IFERROR(__xludf.DUMMYFUNCTION("""COMPUTED_VALUE"""),0.0253428618114748)</f>
        <v>0.02534286181</v>
      </c>
      <c r="D25" s="26">
        <f>IFERROR(__xludf.DUMMYFUNCTION("""COMPUTED_VALUE"""),0.453059188138773)</f>
        <v>0.4530591881</v>
      </c>
      <c r="E25" s="26">
        <f>IFERROR(__xludf.DUMMYFUNCTION("""COMPUTED_VALUE"""),206.296501607547)</f>
        <v>206.2965016</v>
      </c>
    </row>
    <row r="26">
      <c r="A26" s="7">
        <f>IFERROR(__xludf.DUMMYFUNCTION("""COMPUTED_VALUE"""),74.0)</f>
        <v>74</v>
      </c>
      <c r="B26" s="24">
        <f>IFERROR(__xludf.DUMMYFUNCTION("""COMPUTED_VALUE"""),1500.06911523446)</f>
        <v>1500.069115</v>
      </c>
      <c r="C26" s="25">
        <f>IFERROR(__xludf.DUMMYFUNCTION("""COMPUTED_VALUE"""),0.0186272009394324)</f>
        <v>0.01862720094</v>
      </c>
      <c r="D26" s="26">
        <f>IFERROR(__xludf.DUMMYFUNCTION("""COMPUTED_VALUE"""),0.567193016128642)</f>
        <v>0.5671930161</v>
      </c>
      <c r="E26" s="26">
        <f>IFERROR(__xludf.DUMMYFUNCTION("""COMPUTED_VALUE"""),183.313587052481)</f>
        <v>183.3135871</v>
      </c>
    </row>
    <row r="27">
      <c r="A27" s="7">
        <f>IFERROR(__xludf.DUMMYFUNCTION("""COMPUTED_VALUE"""),78.0)</f>
        <v>78</v>
      </c>
      <c r="B27" s="24">
        <f>IFERROR(__xludf.DUMMYFUNCTION("""COMPUTED_VALUE"""),1700.00514557557)</f>
        <v>1700.005146</v>
      </c>
      <c r="C27" s="25">
        <f>IFERROR(__xludf.DUMMYFUNCTION("""COMPUTED_VALUE"""),0.0208441964872098)</f>
        <v>0.02084419649</v>
      </c>
      <c r="D27" s="26">
        <f>IFERROR(__xludf.DUMMYFUNCTION("""COMPUTED_VALUE"""),0.540432533338103)</f>
        <v>0.5404325333</v>
      </c>
      <c r="E27" s="26">
        <f>IFERROR(__xludf.DUMMYFUNCTION("""COMPUTED_VALUE"""),210.143377279933)</f>
        <v>210.1433773</v>
      </c>
    </row>
    <row r="28">
      <c r="A28" s="7">
        <f>IFERROR(__xludf.DUMMYFUNCTION("""COMPUTED_VALUE"""),82.0)</f>
        <v>82</v>
      </c>
      <c r="B28" s="24">
        <f>IFERROR(__xludf.DUMMYFUNCTION("""COMPUTED_VALUE"""),3200.06689835853)</f>
        <v>3200.066898</v>
      </c>
      <c r="C28" s="25">
        <f>IFERROR(__xludf.DUMMYFUNCTION("""COMPUTED_VALUE"""),0.0331521555375636)</f>
        <v>0.03315215554</v>
      </c>
      <c r="D28" s="26">
        <f>IFERROR(__xludf.DUMMYFUNCTION("""COMPUTED_VALUE"""),0.510928468995698)</f>
        <v>0.510928469</v>
      </c>
      <c r="E28" s="26">
        <f>IFERROR(__xludf.DUMMYFUNCTION("""COMPUTED_VALUE"""),202.885044411915)</f>
        <v>202.8850444</v>
      </c>
    </row>
    <row r="29">
      <c r="A29" s="7">
        <f>IFERROR(__xludf.DUMMYFUNCTION("""COMPUTED_VALUE"""),86.0)</f>
        <v>86</v>
      </c>
      <c r="B29" s="24">
        <f>IFERROR(__xludf.DUMMYFUNCTION("""COMPUTED_VALUE"""),1099.92960417535)</f>
        <v>1099.929604</v>
      </c>
      <c r="C29" s="25">
        <f>IFERROR(__xludf.DUMMYFUNCTION("""COMPUTED_VALUE"""),0.015244711095523)</f>
        <v>0.0152447111</v>
      </c>
      <c r="D29" s="26">
        <f>IFERROR(__xludf.DUMMYFUNCTION("""COMPUTED_VALUE"""),0.480720316388739)</f>
        <v>0.4807203164</v>
      </c>
      <c r="E29" s="26">
        <f>IFERROR(__xludf.DUMMYFUNCTION("""COMPUTED_VALUE"""),147.278269645495)</f>
        <v>147.2782696</v>
      </c>
    </row>
    <row r="30">
      <c r="A30" s="7">
        <f>IFERROR(__xludf.DUMMYFUNCTION("""COMPUTED_VALUE"""),88.0)</f>
        <v>88</v>
      </c>
      <c r="B30" s="24">
        <f>IFERROR(__xludf.DUMMYFUNCTION("""COMPUTED_VALUE"""),600.111531508275)</f>
        <v>600.1115315</v>
      </c>
      <c r="C30" s="25">
        <f>IFERROR(__xludf.DUMMYFUNCTION("""COMPUTED_VALUE"""),0.00844058512983285)</f>
        <v>0.00844058513</v>
      </c>
      <c r="D30" s="26">
        <f>IFERROR(__xludf.DUMMYFUNCTION("""COMPUTED_VALUE"""),0.562988507898612)</f>
        <v>0.5629885079</v>
      </c>
      <c r="E30" s="26">
        <f>IFERROR(__xludf.DUMMYFUNCTION("""COMPUTED_VALUE"""),151.384953718919)</f>
        <v>151.3849537</v>
      </c>
    </row>
    <row r="31">
      <c r="A31" s="7">
        <f>IFERROR(__xludf.DUMMYFUNCTION("""COMPUTED_VALUE"""),90.0)</f>
        <v>90</v>
      </c>
      <c r="B31" s="24">
        <f>IFERROR(__xludf.DUMMYFUNCTION("""COMPUTED_VALUE"""),950.038490144401)</f>
        <v>950.0384901</v>
      </c>
      <c r="C31" s="25">
        <f>IFERROR(__xludf.DUMMYFUNCTION("""COMPUTED_VALUE"""),0.0111592758991525)</f>
        <v>0.0111592759</v>
      </c>
      <c r="D31" s="26">
        <f>IFERROR(__xludf.DUMMYFUNCTION("""COMPUTED_VALUE"""),0.363760019771728)</f>
        <v>0.3637600198</v>
      </c>
      <c r="E31" s="26">
        <f>IFERROR(__xludf.DUMMYFUNCTION("""COMPUTED_VALUE"""),136.149717288547)</f>
        <v>136.1497173</v>
      </c>
    </row>
    <row r="32">
      <c r="A32" s="7">
        <f>IFERROR(__xludf.DUMMYFUNCTION("""COMPUTED_VALUE"""),92.0)</f>
        <v>92</v>
      </c>
      <c r="B32" s="24">
        <f>IFERROR(__xludf.DUMMYFUNCTION("""COMPUTED_VALUE"""),2250.08164684126)</f>
        <v>2250.081647</v>
      </c>
      <c r="C32" s="25">
        <f>IFERROR(__xludf.DUMMYFUNCTION("""COMPUTED_VALUE"""),0.0244770793122863)</f>
        <v>0.02447707931</v>
      </c>
      <c r="D32" s="26">
        <f>IFERROR(__xludf.DUMMYFUNCTION("""COMPUTED_VALUE"""),0.601973639790325)</f>
        <v>0.6019736398</v>
      </c>
      <c r="E32" s="26">
        <f>IFERROR(__xludf.DUMMYFUNCTION("""COMPUTED_VALUE"""),239.364125042426)</f>
        <v>239.364125</v>
      </c>
    </row>
    <row r="33">
      <c r="A33" s="7">
        <f>IFERROR(__xludf.DUMMYFUNCTION("""COMPUTED_VALUE"""),94.0)</f>
        <v>94</v>
      </c>
      <c r="B33" s="24">
        <f>IFERROR(__xludf.DUMMYFUNCTION("""COMPUTED_VALUE"""),3549.82638301964)</f>
        <v>3549.826383</v>
      </c>
      <c r="C33" s="25">
        <f>IFERROR(__xludf.DUMMYFUNCTION("""COMPUTED_VALUE"""),0.0337051192337009)</f>
        <v>0.03370511923</v>
      </c>
      <c r="D33" s="26">
        <f>IFERROR(__xludf.DUMMYFUNCTION("""COMPUTED_VALUE"""),0.49257508816172)</f>
        <v>0.4925750882</v>
      </c>
      <c r="E33" s="26">
        <f>IFERROR(__xludf.DUMMYFUNCTION("""COMPUTED_VALUE"""),207.561832311018)</f>
        <v>207.5618323</v>
      </c>
    </row>
    <row r="34">
      <c r="A34" s="7">
        <f>IFERROR(__xludf.DUMMYFUNCTION("""COMPUTED_VALUE"""),96.0)</f>
        <v>96</v>
      </c>
      <c r="B34" s="24">
        <f>IFERROR(__xludf.DUMMYFUNCTION("""COMPUTED_VALUE"""),1750.10153529075)</f>
        <v>1750.101535</v>
      </c>
      <c r="C34" s="25">
        <f>IFERROR(__xludf.DUMMYFUNCTION("""COMPUTED_VALUE"""),0.0206283691294145)</f>
        <v>0.02062836913</v>
      </c>
      <c r="D34" s="26">
        <f>IFERROR(__xludf.DUMMYFUNCTION("""COMPUTED_VALUE"""),0.394082645387445)</f>
        <v>0.3940826454</v>
      </c>
      <c r="E34" s="26">
        <f>IFERROR(__xludf.DUMMYFUNCTION("""COMPUTED_VALUE"""),166.215610411859)</f>
        <v>166.2156104</v>
      </c>
    </row>
    <row r="35">
      <c r="A35" s="7">
        <f>IFERROR(__xludf.DUMMYFUNCTION("""COMPUTED_VALUE"""),98.0)</f>
        <v>98</v>
      </c>
      <c r="B35" s="24">
        <f>IFERROR(__xludf.DUMMYFUNCTION("""COMPUTED_VALUE"""),1100.05917581326)</f>
        <v>1100.059176</v>
      </c>
      <c r="C35" s="25">
        <f>IFERROR(__xludf.DUMMYFUNCTION("""COMPUTED_VALUE"""),0.0135866106593475)</f>
        <v>0.01358661066</v>
      </c>
      <c r="D35" s="26">
        <f>IFERROR(__xludf.DUMMYFUNCTION("""COMPUTED_VALUE"""),0.471028709603571)</f>
        <v>0.4710287096</v>
      </c>
      <c r="E35" s="26">
        <f>IFERROR(__xludf.DUMMYFUNCTION("""COMPUTED_VALUE"""),175.861622042772)</f>
        <v>175.861622</v>
      </c>
    </row>
    <row r="36">
      <c r="A36" s="7">
        <f>IFERROR(__xludf.DUMMYFUNCTION("""COMPUTED_VALUE"""),100.0)</f>
        <v>100</v>
      </c>
      <c r="B36" s="24">
        <f>IFERROR(__xludf.DUMMYFUNCTION("""COMPUTED_VALUE"""),1798.96340477767)</f>
        <v>1798.963405</v>
      </c>
      <c r="C36" s="25">
        <f>IFERROR(__xludf.DUMMYFUNCTION("""COMPUTED_VALUE"""),0.021064185664472)</f>
        <v>0.02106418566</v>
      </c>
      <c r="D36" s="26">
        <f>IFERROR(__xludf.DUMMYFUNCTION("""COMPUTED_VALUE"""),0.47403199964435)</f>
        <v>0.4740319996</v>
      </c>
      <c r="E36" s="26">
        <f>IFERROR(__xludf.DUMMYFUNCTION("""COMPUTED_VALUE"""),187.791335769321)</f>
        <v>187.7913358</v>
      </c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</row>
    <row r="44">
      <c r="A44" s="27">
        <f>IFERROR(__xludf.DUMMYFUNCTION("FILTER(Tradicional[[run]:[heap_mb]], Tradicional[Outliers]=""OK"")
"),3.0)</f>
        <v>3</v>
      </c>
      <c r="B44" s="28">
        <f>IFERROR(__xludf.DUMMYFUNCTION("""COMPUTED_VALUE"""),2700.10810732223)</f>
        <v>2700.108107</v>
      </c>
      <c r="C44" s="29">
        <f>IFERROR(__xludf.DUMMYFUNCTION("""COMPUTED_VALUE"""),0.0478483710874781)</f>
        <v>0.04784837109</v>
      </c>
      <c r="D44" s="30">
        <f>IFERROR(__xludf.DUMMYFUNCTION("""COMPUTED_VALUE"""),0.586409563862568)</f>
        <v>0.5864095639</v>
      </c>
      <c r="E44" s="30">
        <f>IFERROR(__xludf.DUMMYFUNCTION("""COMPUTED_VALUE"""),272.498703907557)</f>
        <v>272.4987039</v>
      </c>
    </row>
    <row r="45">
      <c r="A45" s="7">
        <f>IFERROR(__xludf.DUMMYFUNCTION("""COMPUTED_VALUE"""),7.0)</f>
        <v>7</v>
      </c>
      <c r="B45" s="24">
        <f>IFERROR(__xludf.DUMMYFUNCTION("""COMPUTED_VALUE"""),1750.08781993183)</f>
        <v>1750.08782</v>
      </c>
      <c r="C45" s="25">
        <f>IFERROR(__xludf.DUMMYFUNCTION("""COMPUTED_VALUE"""),0.0356302257635406)</f>
        <v>0.03563022576</v>
      </c>
      <c r="D45" s="26">
        <f>IFERROR(__xludf.DUMMYFUNCTION("""COMPUTED_VALUE"""),0.452527603645465)</f>
        <v>0.4525276036</v>
      </c>
      <c r="E45" s="26">
        <f>IFERROR(__xludf.DUMMYFUNCTION("""COMPUTED_VALUE"""),187.082972075808)</f>
        <v>187.0829721</v>
      </c>
    </row>
    <row r="46">
      <c r="A46" s="7">
        <f>IFERROR(__xludf.DUMMYFUNCTION("""COMPUTED_VALUE"""),9.0)</f>
        <v>9</v>
      </c>
      <c r="B46" s="24">
        <f>IFERROR(__xludf.DUMMYFUNCTION("""COMPUTED_VALUE"""),1800.06806659516)</f>
        <v>1800.068067</v>
      </c>
      <c r="C46" s="25">
        <f>IFERROR(__xludf.DUMMYFUNCTION("""COMPUTED_VALUE"""),0.0409843800038135)</f>
        <v>0.04098438</v>
      </c>
      <c r="D46" s="26">
        <f>IFERROR(__xludf.DUMMYFUNCTION("""COMPUTED_VALUE"""),0.433634167617147)</f>
        <v>0.4336341676</v>
      </c>
      <c r="E46" s="26">
        <f>IFERROR(__xludf.DUMMYFUNCTION("""COMPUTED_VALUE"""),168.080363078289)</f>
        <v>168.0803631</v>
      </c>
    </row>
    <row r="47">
      <c r="A47" s="7">
        <f>IFERROR(__xludf.DUMMYFUNCTION("""COMPUTED_VALUE"""),11.0)</f>
        <v>11</v>
      </c>
      <c r="B47" s="24">
        <f>IFERROR(__xludf.DUMMYFUNCTION("""COMPUTED_VALUE"""),1249.56733368522)</f>
        <v>1249.567334</v>
      </c>
      <c r="C47" s="25">
        <f>IFERROR(__xludf.DUMMYFUNCTION("""COMPUTED_VALUE"""),0.0274085775384202)</f>
        <v>0.02740857754</v>
      </c>
      <c r="D47" s="26">
        <f>IFERROR(__xludf.DUMMYFUNCTION("""COMPUTED_VALUE"""),0.366823263262986)</f>
        <v>0.3668232633</v>
      </c>
      <c r="E47" s="26">
        <f>IFERROR(__xludf.DUMMYFUNCTION("""COMPUTED_VALUE"""),132.48260443195)</f>
        <v>132.4826044</v>
      </c>
    </row>
    <row r="48">
      <c r="A48" s="7">
        <f>IFERROR(__xludf.DUMMYFUNCTION("""COMPUTED_VALUE"""),13.0)</f>
        <v>13</v>
      </c>
      <c r="B48" s="24">
        <f>IFERROR(__xludf.DUMMYFUNCTION("""COMPUTED_VALUE"""),3150.09660868653)</f>
        <v>3150.096609</v>
      </c>
      <c r="C48" s="25">
        <f>IFERROR(__xludf.DUMMYFUNCTION("""COMPUTED_VALUE"""),0.0563260264535505)</f>
        <v>0.05632602645</v>
      </c>
      <c r="D48" s="26">
        <f>IFERROR(__xludf.DUMMYFUNCTION("""COMPUTED_VALUE"""),0.528003508974983)</f>
        <v>0.528003509</v>
      </c>
      <c r="E48" s="26">
        <f>IFERROR(__xludf.DUMMYFUNCTION("""COMPUTED_VALUE"""),257.61830611935)</f>
        <v>257.6183061</v>
      </c>
    </row>
    <row r="49">
      <c r="A49" s="7">
        <f>IFERROR(__xludf.DUMMYFUNCTION("""COMPUTED_VALUE"""),17.0)</f>
        <v>17</v>
      </c>
      <c r="B49" s="24">
        <f>IFERROR(__xludf.DUMMYFUNCTION("""COMPUTED_VALUE"""),2716.43621876971)</f>
        <v>2716.436219</v>
      </c>
      <c r="C49" s="25">
        <f>IFERROR(__xludf.DUMMYFUNCTION("""COMPUTED_VALUE"""),0.0554817834276286)</f>
        <v>0.05548178343</v>
      </c>
      <c r="D49" s="26">
        <f>IFERROR(__xludf.DUMMYFUNCTION("""COMPUTED_VALUE"""),0.587915162730969)</f>
        <v>0.5879151627</v>
      </c>
      <c r="E49" s="26">
        <f>IFERROR(__xludf.DUMMYFUNCTION("""COMPUTED_VALUE"""),241.637311948056)</f>
        <v>241.6373119</v>
      </c>
    </row>
    <row r="50">
      <c r="A50" s="7">
        <f>IFERROR(__xludf.DUMMYFUNCTION("""COMPUTED_VALUE"""),19.0)</f>
        <v>19</v>
      </c>
      <c r="B50" s="24">
        <f>IFERROR(__xludf.DUMMYFUNCTION("""COMPUTED_VALUE"""),1497.93076084605)</f>
        <v>1497.930761</v>
      </c>
      <c r="C50" s="25">
        <f>IFERROR(__xludf.DUMMYFUNCTION("""COMPUTED_VALUE"""),0.0320480682417472)</f>
        <v>0.03204806824</v>
      </c>
      <c r="D50" s="26">
        <f>IFERROR(__xludf.DUMMYFUNCTION("""COMPUTED_VALUE"""),0.433116244804361)</f>
        <v>0.4331162448</v>
      </c>
      <c r="E50" s="26">
        <f>IFERROR(__xludf.DUMMYFUNCTION("""COMPUTED_VALUE"""),178.515213577835)</f>
        <v>178.5152136</v>
      </c>
    </row>
    <row r="51">
      <c r="A51" s="7">
        <f>IFERROR(__xludf.DUMMYFUNCTION("""COMPUTED_VALUE"""),21.0)</f>
        <v>21</v>
      </c>
      <c r="B51" s="24">
        <f>IFERROR(__xludf.DUMMYFUNCTION("""COMPUTED_VALUE"""),899.159975551881)</f>
        <v>899.1599756</v>
      </c>
      <c r="C51" s="25">
        <f>IFERROR(__xludf.DUMMYFUNCTION("""COMPUTED_VALUE"""),0.0223744357917878)</f>
        <v>0.02237443579</v>
      </c>
      <c r="D51" s="26">
        <f>IFERROR(__xludf.DUMMYFUNCTION("""COMPUTED_VALUE"""),0.543996453659157)</f>
        <v>0.5439964537</v>
      </c>
      <c r="E51" s="26">
        <f>IFERROR(__xludf.DUMMYFUNCTION("""COMPUTED_VALUE"""),215.61971687203)</f>
        <v>215.6197169</v>
      </c>
    </row>
    <row r="52">
      <c r="A52" s="7">
        <f>IFERROR(__xludf.DUMMYFUNCTION("""COMPUTED_VALUE"""),23.0)</f>
        <v>23</v>
      </c>
      <c r="B52" s="24">
        <f>IFERROR(__xludf.DUMMYFUNCTION("""COMPUTED_VALUE"""),1150.13685397915)</f>
        <v>1150.136854</v>
      </c>
      <c r="C52" s="25">
        <f>IFERROR(__xludf.DUMMYFUNCTION("""COMPUTED_VALUE"""),0.0273814683038932)</f>
        <v>0.0273814683</v>
      </c>
      <c r="D52" s="26">
        <f>IFERROR(__xludf.DUMMYFUNCTION("""COMPUTED_VALUE"""),0.442308962759887)</f>
        <v>0.4423089628</v>
      </c>
      <c r="E52" s="26">
        <f>IFERROR(__xludf.DUMMYFUNCTION("""COMPUTED_VALUE"""),179.955565531319)</f>
        <v>179.9555655</v>
      </c>
    </row>
    <row r="53">
      <c r="A53" s="7">
        <f>IFERROR(__xludf.DUMMYFUNCTION("""COMPUTED_VALUE"""),25.0)</f>
        <v>25</v>
      </c>
      <c r="B53" s="24">
        <f>IFERROR(__xludf.DUMMYFUNCTION("""COMPUTED_VALUE"""),1645.92752479138)</f>
        <v>1645.927525</v>
      </c>
      <c r="C53" s="25">
        <f>IFERROR(__xludf.DUMMYFUNCTION("""COMPUTED_VALUE"""),0.035663205147454)</f>
        <v>0.03566320515</v>
      </c>
      <c r="D53" s="26">
        <f>IFERROR(__xludf.DUMMYFUNCTION("""COMPUTED_VALUE"""),0.536685898984413)</f>
        <v>0.536685899</v>
      </c>
      <c r="E53" s="26">
        <f>IFERROR(__xludf.DUMMYFUNCTION("""COMPUTED_VALUE"""),221.867356863081)</f>
        <v>221.8673569</v>
      </c>
    </row>
    <row r="54">
      <c r="A54" s="7">
        <f>IFERROR(__xludf.DUMMYFUNCTION("""COMPUTED_VALUE"""),27.0)</f>
        <v>27</v>
      </c>
      <c r="B54" s="24">
        <f>IFERROR(__xludf.DUMMYFUNCTION("""COMPUTED_VALUE"""),751.099053426246)</f>
        <v>751.0990534</v>
      </c>
      <c r="C54" s="25">
        <f>IFERROR(__xludf.DUMMYFUNCTION("""COMPUTED_VALUE"""),0.0189654177567796)</f>
        <v>0.01896541776</v>
      </c>
      <c r="D54" s="26">
        <f>IFERROR(__xludf.DUMMYFUNCTION("""COMPUTED_VALUE"""),0.563964736696475)</f>
        <v>0.5639647367</v>
      </c>
      <c r="E54" s="26">
        <f>IFERROR(__xludf.DUMMYFUNCTION("""COMPUTED_VALUE"""),198.407641226785)</f>
        <v>198.4076412</v>
      </c>
    </row>
    <row r="55">
      <c r="A55" s="7">
        <f>IFERROR(__xludf.DUMMYFUNCTION("""COMPUTED_VALUE"""),29.0)</f>
        <v>29</v>
      </c>
      <c r="B55" s="24">
        <f>IFERROR(__xludf.DUMMYFUNCTION("""COMPUTED_VALUE"""),3400.19677062015)</f>
        <v>3400.196771</v>
      </c>
      <c r="C55" s="25">
        <f>IFERROR(__xludf.DUMMYFUNCTION("""COMPUTED_VALUE"""),0.0587567301281141)</f>
        <v>0.05875673013</v>
      </c>
      <c r="D55" s="26">
        <f>IFERROR(__xludf.DUMMYFUNCTION("""COMPUTED_VALUE"""),0.559083481669917)</f>
        <v>0.5590834817</v>
      </c>
      <c r="E55" s="26">
        <f>IFERROR(__xludf.DUMMYFUNCTION("""COMPUTED_VALUE"""),272.42053963728)</f>
        <v>272.4205396</v>
      </c>
    </row>
    <row r="56">
      <c r="A56" s="7">
        <f>IFERROR(__xludf.DUMMYFUNCTION("""COMPUTED_VALUE"""),33.0)</f>
        <v>33</v>
      </c>
      <c r="B56" s="24">
        <f>IFERROR(__xludf.DUMMYFUNCTION("""COMPUTED_VALUE"""),2875.56165748079)</f>
        <v>2875.561657</v>
      </c>
      <c r="C56" s="25">
        <f>IFERROR(__xludf.DUMMYFUNCTION("""COMPUTED_VALUE"""),0.0526175208044421)</f>
        <v>0.0526175208</v>
      </c>
      <c r="D56" s="26">
        <f>IFERROR(__xludf.DUMMYFUNCTION("""COMPUTED_VALUE"""),0.489366383007449)</f>
        <v>0.489366383</v>
      </c>
      <c r="E56" s="26">
        <f>IFERROR(__xludf.DUMMYFUNCTION("""COMPUTED_VALUE"""),207.796422760721)</f>
        <v>207.7964228</v>
      </c>
    </row>
    <row r="57">
      <c r="A57" s="7">
        <f>IFERROR(__xludf.DUMMYFUNCTION("""COMPUTED_VALUE"""),35.0)</f>
        <v>35</v>
      </c>
      <c r="B57" s="24">
        <f>IFERROR(__xludf.DUMMYFUNCTION("""COMPUTED_VALUE"""),2300.16101583162)</f>
        <v>2300.161016</v>
      </c>
      <c r="C57" s="25">
        <f>IFERROR(__xludf.DUMMYFUNCTION("""COMPUTED_VALUE"""),0.0452312530480271)</f>
        <v>0.04523125305</v>
      </c>
      <c r="D57" s="26">
        <f>IFERROR(__xludf.DUMMYFUNCTION("""COMPUTED_VALUE"""),0.366425498358188)</f>
        <v>0.3664254984</v>
      </c>
      <c r="E57" s="26">
        <f>IFERROR(__xludf.DUMMYFUNCTION("""COMPUTED_VALUE"""),134.501835269128)</f>
        <v>134.5018353</v>
      </c>
    </row>
    <row r="58">
      <c r="A58" s="7">
        <f>IFERROR(__xludf.DUMMYFUNCTION("""COMPUTED_VALUE"""),37.0)</f>
        <v>37</v>
      </c>
      <c r="B58" s="24">
        <f>IFERROR(__xludf.DUMMYFUNCTION("""COMPUTED_VALUE"""),1500.07975023984)</f>
        <v>1500.07975</v>
      </c>
      <c r="C58" s="25">
        <f>IFERROR(__xludf.DUMMYFUNCTION("""COMPUTED_VALUE"""),0.0345153126717546)</f>
        <v>0.03451531267</v>
      </c>
      <c r="D58" s="26">
        <f>IFERROR(__xludf.DUMMYFUNCTION("""COMPUTED_VALUE"""),0.383191906338066)</f>
        <v>0.3831919063</v>
      </c>
      <c r="E58" s="26">
        <f>IFERROR(__xludf.DUMMYFUNCTION("""COMPUTED_VALUE"""),137.383804901301)</f>
        <v>137.3838049</v>
      </c>
    </row>
    <row r="59">
      <c r="A59" s="7">
        <f>IFERROR(__xludf.DUMMYFUNCTION("""COMPUTED_VALUE"""),39.0)</f>
        <v>39</v>
      </c>
      <c r="B59" s="24">
        <f>IFERROR(__xludf.DUMMYFUNCTION("""COMPUTED_VALUE"""),700.086613175591)</f>
        <v>700.0866132</v>
      </c>
      <c r="C59" s="25">
        <f>IFERROR(__xludf.DUMMYFUNCTION("""COMPUTED_VALUE"""),0.0205899134125)</f>
        <v>0.02058991341</v>
      </c>
      <c r="D59" s="26">
        <f>IFERROR(__xludf.DUMMYFUNCTION("""COMPUTED_VALUE"""),0.307331741153936)</f>
        <v>0.3073317412</v>
      </c>
      <c r="E59" s="26">
        <f>IFERROR(__xludf.DUMMYFUNCTION("""COMPUTED_VALUE"""),91.5500594429347)</f>
        <v>91.55005944</v>
      </c>
    </row>
    <row r="60">
      <c r="A60" s="7">
        <f>IFERROR(__xludf.DUMMYFUNCTION("""COMPUTED_VALUE"""),41.0)</f>
        <v>41</v>
      </c>
      <c r="B60" s="24">
        <f>IFERROR(__xludf.DUMMYFUNCTION("""COMPUTED_VALUE"""),1900.061706784)</f>
        <v>1900.061707</v>
      </c>
      <c r="C60" s="25">
        <f>IFERROR(__xludf.DUMMYFUNCTION("""COMPUTED_VALUE"""),0.0429193526736531)</f>
        <v>0.04291935267</v>
      </c>
      <c r="D60" s="26">
        <f>IFERROR(__xludf.DUMMYFUNCTION("""COMPUTED_VALUE"""),0.483227513366428)</f>
        <v>0.4832275134</v>
      </c>
      <c r="E60" s="26">
        <f>IFERROR(__xludf.DUMMYFUNCTION("""COMPUTED_VALUE"""),212.420603147694)</f>
        <v>212.4206031</v>
      </c>
    </row>
    <row r="61">
      <c r="A61" s="7">
        <f>IFERROR(__xludf.DUMMYFUNCTION("""COMPUTED_VALUE"""),43.0)</f>
        <v>43</v>
      </c>
      <c r="B61" s="24">
        <f>IFERROR(__xludf.DUMMYFUNCTION("""COMPUTED_VALUE"""),1398.17245912773)</f>
        <v>1398.172459</v>
      </c>
      <c r="C61" s="25">
        <f>IFERROR(__xludf.DUMMYFUNCTION("""COMPUTED_VALUE"""),1.930880499511E-4)</f>
        <v>0.00019308805</v>
      </c>
      <c r="D61" s="26">
        <f>IFERROR(__xludf.DUMMYFUNCTION("""COMPUTED_VALUE"""),0.36202262721)</f>
        <v>0.3620226272</v>
      </c>
      <c r="E61" s="26">
        <f>IFERROR(__xludf.DUMMYFUNCTION("""COMPUTED_VALUE"""),107.02539341061)</f>
        <v>107.0253934</v>
      </c>
    </row>
    <row r="62">
      <c r="A62" s="7">
        <f>IFERROR(__xludf.DUMMYFUNCTION("""COMPUTED_VALUE"""),45.0)</f>
        <v>45</v>
      </c>
      <c r="B62" s="24">
        <f>IFERROR(__xludf.DUMMYFUNCTION("""COMPUTED_VALUE"""),2050.08339718758)</f>
        <v>2050.083397</v>
      </c>
      <c r="C62" s="25">
        <f>IFERROR(__xludf.DUMMYFUNCTION("""COMPUTED_VALUE"""),0.0429718880144442)</f>
        <v>0.04297188801</v>
      </c>
      <c r="D62" s="26">
        <f>IFERROR(__xludf.DUMMYFUNCTION("""COMPUTED_VALUE"""),0.412259229039577)</f>
        <v>0.412259229</v>
      </c>
      <c r="E62" s="26">
        <f>IFERROR(__xludf.DUMMYFUNCTION("""COMPUTED_VALUE"""),160.228449642868)</f>
        <v>160.2284496</v>
      </c>
    </row>
    <row r="63">
      <c r="A63" s="7">
        <f>IFERROR(__xludf.DUMMYFUNCTION("""COMPUTED_VALUE"""),47.0)</f>
        <v>47</v>
      </c>
      <c r="B63" s="24">
        <f>IFERROR(__xludf.DUMMYFUNCTION("""COMPUTED_VALUE"""),3517.06933176492)</f>
        <v>3517.069332</v>
      </c>
      <c r="C63" s="25">
        <f>IFERROR(__xludf.DUMMYFUNCTION("""COMPUTED_VALUE"""),0.063400855828032)</f>
        <v>0.06340085583</v>
      </c>
      <c r="D63" s="26">
        <f>IFERROR(__xludf.DUMMYFUNCTION("""COMPUTED_VALUE"""),0.585478071479258)</f>
        <v>0.5854780715</v>
      </c>
      <c r="E63" s="26">
        <f>IFERROR(__xludf.DUMMYFUNCTION("""COMPUTED_VALUE"""),258.702762283868)</f>
        <v>258.7027623</v>
      </c>
    </row>
    <row r="64">
      <c r="A64" s="7">
        <f>IFERROR(__xludf.DUMMYFUNCTION("""COMPUTED_VALUE"""),49.0)</f>
        <v>49</v>
      </c>
      <c r="B64" s="24">
        <f>IFERROR(__xludf.DUMMYFUNCTION("""COMPUTED_VALUE"""),1800.12609055206)</f>
        <v>1800.126091</v>
      </c>
      <c r="C64" s="25">
        <f>IFERROR(__xludf.DUMMYFUNCTION("""COMPUTED_VALUE"""),0.0409222851892357)</f>
        <v>0.04092228519</v>
      </c>
      <c r="D64" s="26">
        <f>IFERROR(__xludf.DUMMYFUNCTION("""COMPUTED_VALUE"""),0.336744977262123)</f>
        <v>0.3367449773</v>
      </c>
      <c r="E64" s="26">
        <f>IFERROR(__xludf.DUMMYFUNCTION("""COMPUTED_VALUE"""),114.597155937781)</f>
        <v>114.5971559</v>
      </c>
    </row>
    <row r="65">
      <c r="A65" s="7">
        <f>IFERROR(__xludf.DUMMYFUNCTION("""COMPUTED_VALUE"""),51.0)</f>
        <v>51</v>
      </c>
      <c r="B65" s="24">
        <f>IFERROR(__xludf.DUMMYFUNCTION("""COMPUTED_VALUE"""),900.067879249161)</f>
        <v>900.0678792</v>
      </c>
      <c r="C65" s="25">
        <f>IFERROR(__xludf.DUMMYFUNCTION("""COMPUTED_VALUE"""),0.0234371467205492)</f>
        <v>0.02343714672</v>
      </c>
      <c r="D65" s="26">
        <f>IFERROR(__xludf.DUMMYFUNCTION("""COMPUTED_VALUE"""),0.320163537746135)</f>
        <v>0.3201635377</v>
      </c>
      <c r="E65" s="26">
        <f>IFERROR(__xludf.DUMMYFUNCTION("""COMPUTED_VALUE"""),102.224404665888)</f>
        <v>102.2244047</v>
      </c>
    </row>
    <row r="66">
      <c r="A66" s="7">
        <f>IFERROR(__xludf.DUMMYFUNCTION("""COMPUTED_VALUE"""),53.0)</f>
        <v>53</v>
      </c>
      <c r="B66" s="24">
        <f>IFERROR(__xludf.DUMMYFUNCTION("""COMPUTED_VALUE"""),1841.30066327596)</f>
        <v>1841.300663</v>
      </c>
      <c r="C66" s="25">
        <f>IFERROR(__xludf.DUMMYFUNCTION("""COMPUTED_VALUE"""),0.0411301948201651)</f>
        <v>0.04113019482</v>
      </c>
      <c r="D66" s="26">
        <f>IFERROR(__xludf.DUMMYFUNCTION("""COMPUTED_VALUE"""),0.327442651978441)</f>
        <v>0.327442652</v>
      </c>
      <c r="E66" s="26">
        <f>IFERROR(__xludf.DUMMYFUNCTION("""COMPUTED_VALUE"""),109.14510454664)</f>
        <v>109.1451045</v>
      </c>
    </row>
    <row r="67">
      <c r="A67" s="7">
        <f>IFERROR(__xludf.DUMMYFUNCTION("""COMPUTED_VALUE"""),55.0)</f>
        <v>55</v>
      </c>
      <c r="B67" s="24">
        <f>IFERROR(__xludf.DUMMYFUNCTION("""COMPUTED_VALUE"""),3370.32405788031)</f>
        <v>3370.324058</v>
      </c>
      <c r="C67" s="25">
        <f>IFERROR(__xludf.DUMMYFUNCTION("""COMPUTED_VALUE"""),0.0601655636974444)</f>
        <v>0.0601655637</v>
      </c>
      <c r="D67" s="26">
        <f>IFERROR(__xludf.DUMMYFUNCTION("""COMPUTED_VALUE"""),0.490985528722486)</f>
        <v>0.4909855287</v>
      </c>
      <c r="E67" s="26">
        <f>IFERROR(__xludf.DUMMYFUNCTION("""COMPUTED_VALUE"""),210.175955005056)</f>
        <v>210.175955</v>
      </c>
    </row>
    <row r="68">
      <c r="A68" s="7">
        <f>IFERROR(__xludf.DUMMYFUNCTION("""COMPUTED_VALUE"""),57.0)</f>
        <v>57</v>
      </c>
      <c r="B68" s="24">
        <f>IFERROR(__xludf.DUMMYFUNCTION("""COMPUTED_VALUE"""),2750.10811665045)</f>
        <v>2750.108117</v>
      </c>
      <c r="C68" s="25">
        <f>IFERROR(__xludf.DUMMYFUNCTION("""COMPUTED_VALUE"""),0.0555856627112848)</f>
        <v>0.05558566271</v>
      </c>
      <c r="D68" s="26">
        <f>IFERROR(__xludf.DUMMYFUNCTION("""COMPUTED_VALUE"""),0.431090222808325)</f>
        <v>0.4310902228</v>
      </c>
      <c r="E68" s="26">
        <f>IFERROR(__xludf.DUMMYFUNCTION("""COMPUTED_VALUE"""),167.00324680535)</f>
        <v>167.0032468</v>
      </c>
    </row>
    <row r="69">
      <c r="A69" s="7">
        <f>IFERROR(__xludf.DUMMYFUNCTION("""COMPUTED_VALUE"""),59.0)</f>
        <v>59</v>
      </c>
      <c r="B69" s="24">
        <f>IFERROR(__xludf.DUMMYFUNCTION("""COMPUTED_VALUE"""),650.112721939665)</f>
        <v>650.1127219</v>
      </c>
      <c r="C69" s="25">
        <f>IFERROR(__xludf.DUMMYFUNCTION("""COMPUTED_VALUE"""),0.0176892445181728)</f>
        <v>0.01768924452</v>
      </c>
      <c r="D69" s="26">
        <f>IFERROR(__xludf.DUMMYFUNCTION("""COMPUTED_VALUE"""),0.499844822075834)</f>
        <v>0.4998448221</v>
      </c>
      <c r="E69" s="26">
        <f>IFERROR(__xludf.DUMMYFUNCTION("""COMPUTED_VALUE"""),177.60733622425)</f>
        <v>177.6073362</v>
      </c>
    </row>
    <row r="70">
      <c r="A70" s="7">
        <f>IFERROR(__xludf.DUMMYFUNCTION("""COMPUTED_VALUE"""),61.0)</f>
        <v>61</v>
      </c>
      <c r="B70" s="24">
        <f>IFERROR(__xludf.DUMMYFUNCTION("""COMPUTED_VALUE"""),2200.26674471823)</f>
        <v>2200.266745</v>
      </c>
      <c r="C70" s="25">
        <f>IFERROR(__xludf.DUMMYFUNCTION("""COMPUTED_VALUE"""),0.0429718880144442)</f>
        <v>0.04297188801</v>
      </c>
      <c r="D70" s="26">
        <f>IFERROR(__xludf.DUMMYFUNCTION("""COMPUTED_VALUE"""),0.412259229039577)</f>
        <v>0.412259229</v>
      </c>
      <c r="E70" s="26">
        <f>IFERROR(__xludf.DUMMYFUNCTION("""COMPUTED_VALUE"""),160.228449642868)</f>
        <v>160.2284496</v>
      </c>
    </row>
    <row r="71">
      <c r="A71" s="7">
        <f>IFERROR(__xludf.DUMMYFUNCTION("""COMPUTED_VALUE"""),65.0)</f>
        <v>65</v>
      </c>
      <c r="B71" s="24">
        <f>IFERROR(__xludf.DUMMYFUNCTION("""COMPUTED_VALUE"""),3410.06187009086)</f>
        <v>3410.06187</v>
      </c>
      <c r="C71" s="25">
        <f>IFERROR(__xludf.DUMMYFUNCTION("""COMPUTED_VALUE"""),0.0626537050591841)</f>
        <v>0.06265370506</v>
      </c>
      <c r="D71" s="26">
        <f>IFERROR(__xludf.DUMMYFUNCTION("""COMPUTED_VALUE"""),0.562143386360506)</f>
        <v>0.5621433864</v>
      </c>
      <c r="E71" s="26">
        <f>IFERROR(__xludf.DUMMYFUNCTION("""COMPUTED_VALUE"""),253.778760129565)</f>
        <v>253.7787601</v>
      </c>
    </row>
    <row r="72">
      <c r="A72" s="7">
        <f>IFERROR(__xludf.DUMMYFUNCTION("""COMPUTED_VALUE"""),67.0)</f>
        <v>67</v>
      </c>
      <c r="B72" s="24">
        <f>IFERROR(__xludf.DUMMYFUNCTION("""COMPUTED_VALUE"""),1150.11881773995)</f>
        <v>1150.118818</v>
      </c>
      <c r="C72" s="25">
        <f>IFERROR(__xludf.DUMMYFUNCTION("""COMPUTED_VALUE"""),0.0267960577454153)</f>
        <v>0.02679605775</v>
      </c>
      <c r="D72" s="26">
        <f>IFERROR(__xludf.DUMMYFUNCTION("""COMPUTED_VALUE"""),0.553175066874016)</f>
        <v>0.5531750669</v>
      </c>
      <c r="E72" s="26">
        <f>IFERROR(__xludf.DUMMYFUNCTION("""COMPUTED_VALUE"""),240.081684636134)</f>
        <v>240.0816846</v>
      </c>
    </row>
    <row r="73">
      <c r="A73" s="7">
        <f>IFERROR(__xludf.DUMMYFUNCTION("""COMPUTED_VALUE"""),69.0)</f>
        <v>69</v>
      </c>
      <c r="B73" s="24">
        <f>IFERROR(__xludf.DUMMYFUNCTION("""COMPUTED_VALUE"""),1986.14674834543)</f>
        <v>1986.146748</v>
      </c>
      <c r="C73" s="25">
        <f>IFERROR(__xludf.DUMMYFUNCTION("""COMPUTED_VALUE"""),0.0449923567899907)</f>
        <v>0.04499235679</v>
      </c>
      <c r="D73" s="26">
        <f>IFERROR(__xludf.DUMMYFUNCTION("""COMPUTED_VALUE"""),0.45630722024527)</f>
        <v>0.4563072202</v>
      </c>
      <c r="E73" s="26">
        <f>IFERROR(__xludf.DUMMYFUNCTION("""COMPUTED_VALUE"""),179.062849502896)</f>
        <v>179.0628495</v>
      </c>
    </row>
    <row r="74">
      <c r="A74" s="7">
        <f>IFERROR(__xludf.DUMMYFUNCTION("""COMPUTED_VALUE"""),71.0)</f>
        <v>71</v>
      </c>
      <c r="B74" s="24">
        <f>IFERROR(__xludf.DUMMYFUNCTION("""COMPUTED_VALUE"""),400.125184845856)</f>
        <v>400.1251848</v>
      </c>
      <c r="C74" s="25">
        <f>IFERROR(__xludf.DUMMYFUNCTION("""COMPUTED_VALUE"""),0.0139676775383557)</f>
        <v>0.01396767754</v>
      </c>
      <c r="D74" s="26">
        <f>IFERROR(__xludf.DUMMYFUNCTION("""COMPUTED_VALUE"""),0.551957257396963)</f>
        <v>0.5519572574</v>
      </c>
      <c r="E74" s="26">
        <f>IFERROR(__xludf.DUMMYFUNCTION("""COMPUTED_VALUE"""),194.19025435271)</f>
        <v>194.1902544</v>
      </c>
    </row>
    <row r="75">
      <c r="A75" s="7">
        <f>IFERROR(__xludf.DUMMYFUNCTION("""COMPUTED_VALUE"""),73.0)</f>
        <v>73</v>
      </c>
      <c r="B75" s="24">
        <f>IFERROR(__xludf.DUMMYFUNCTION("""COMPUTED_VALUE"""),1350.16786812626)</f>
        <v>1350.167868</v>
      </c>
      <c r="C75" s="25">
        <f>IFERROR(__xludf.DUMMYFUNCTION("""COMPUTED_VALUE"""),0.0323991768191059)</f>
        <v>0.03239917682</v>
      </c>
      <c r="D75" s="26">
        <f>IFERROR(__xludf.DUMMYFUNCTION("""COMPUTED_VALUE"""),0.594691902964345)</f>
        <v>0.594691903</v>
      </c>
      <c r="E75" s="26">
        <f>IFERROR(__xludf.DUMMYFUNCTION("""COMPUTED_VALUE"""),270.674048264821)</f>
        <v>270.6740483</v>
      </c>
    </row>
    <row r="76">
      <c r="A76" s="7">
        <f>IFERROR(__xludf.DUMMYFUNCTION("""COMPUTED_VALUE"""),75.0)</f>
        <v>75</v>
      </c>
      <c r="B76" s="24">
        <f>IFERROR(__xludf.DUMMYFUNCTION("""COMPUTED_VALUE"""),2550.12832956518)</f>
        <v>2550.12833</v>
      </c>
      <c r="C76" s="25">
        <f>IFERROR(__xludf.DUMMYFUNCTION("""COMPUTED_VALUE"""),0.0509756473823159)</f>
        <v>0.05097564738</v>
      </c>
      <c r="D76" s="26">
        <f>IFERROR(__xludf.DUMMYFUNCTION("""COMPUTED_VALUE"""),0.576039992049557)</f>
        <v>0.576039992</v>
      </c>
      <c r="E76" s="26">
        <f>IFERROR(__xludf.DUMMYFUNCTION("""COMPUTED_VALUE"""),263.578099769233)</f>
        <v>263.5780998</v>
      </c>
    </row>
    <row r="77">
      <c r="A77" s="7">
        <f>IFERROR(__xludf.DUMMYFUNCTION("""COMPUTED_VALUE"""),77.0)</f>
        <v>77</v>
      </c>
      <c r="B77" s="24">
        <f>IFERROR(__xludf.DUMMYFUNCTION("""COMPUTED_VALUE"""),1700.2166546978)</f>
        <v>1700.216655</v>
      </c>
      <c r="C77" s="25">
        <f>IFERROR(__xludf.DUMMYFUNCTION("""COMPUTED_VALUE"""),0.033286924594545)</f>
        <v>0.03328692459</v>
      </c>
      <c r="D77" s="26">
        <f>IFERROR(__xludf.DUMMYFUNCTION("""COMPUTED_VALUE"""),0.540030714467745)</f>
        <v>0.5400307145</v>
      </c>
      <c r="E77" s="26">
        <f>IFERROR(__xludf.DUMMYFUNCTION("""COMPUTED_VALUE"""),229.402603380607)</f>
        <v>229.4026034</v>
      </c>
    </row>
    <row r="78">
      <c r="A78" s="7">
        <f>IFERROR(__xludf.DUMMYFUNCTION("""COMPUTED_VALUE"""),79.0)</f>
        <v>79</v>
      </c>
      <c r="B78" s="24">
        <f>IFERROR(__xludf.DUMMYFUNCTION("""COMPUTED_VALUE"""),3900.07379914646)</f>
        <v>3900.073799</v>
      </c>
      <c r="C78" s="25">
        <f>IFERROR(__xludf.DUMMYFUNCTION("""COMPUTED_VALUE"""),0.0632447135863325)</f>
        <v>0.06324471359</v>
      </c>
      <c r="D78" s="26">
        <f>IFERROR(__xludf.DUMMYFUNCTION("""COMPUTED_VALUE"""),0.613765598623952)</f>
        <v>0.6137655986</v>
      </c>
      <c r="E78" s="26">
        <f>IFERROR(__xludf.DUMMYFUNCTION("""COMPUTED_VALUE"""),285.486362576704)</f>
        <v>285.4863626</v>
      </c>
    </row>
    <row r="79">
      <c r="A79" s="7">
        <f>IFERROR(__xludf.DUMMYFUNCTION("""COMPUTED_VALUE"""),83.0)</f>
        <v>83</v>
      </c>
      <c r="B79" s="24">
        <f>IFERROR(__xludf.DUMMYFUNCTION("""COMPUTED_VALUE"""),3549.69195240783)</f>
        <v>3549.691952</v>
      </c>
      <c r="C79" s="25">
        <f>IFERROR(__xludf.DUMMYFUNCTION("""COMPUTED_VALUE"""),0.062444759023956)</f>
        <v>0.06244475902</v>
      </c>
      <c r="D79" s="26">
        <f>IFERROR(__xludf.DUMMYFUNCTION("""COMPUTED_VALUE"""),0.466161801298537)</f>
        <v>0.4661618013</v>
      </c>
      <c r="E79" s="26">
        <f>IFERROR(__xludf.DUMMYFUNCTION("""COMPUTED_VALUE"""),195.024975615662)</f>
        <v>195.0249756</v>
      </c>
    </row>
    <row r="80">
      <c r="A80" s="7">
        <f>IFERROR(__xludf.DUMMYFUNCTION("""COMPUTED_VALUE"""),85.0)</f>
        <v>85</v>
      </c>
      <c r="B80" s="24">
        <f>IFERROR(__xludf.DUMMYFUNCTION("""COMPUTED_VALUE"""),3499.99295801416)</f>
        <v>3499.992958</v>
      </c>
      <c r="C80" s="25">
        <f>IFERROR(__xludf.DUMMYFUNCTION("""COMPUTED_VALUE"""),0.0554313266570508)</f>
        <v>0.05543132666</v>
      </c>
      <c r="D80" s="26">
        <f>IFERROR(__xludf.DUMMYFUNCTION("""COMPUTED_VALUE"""),0.577507808214227)</f>
        <v>0.5775078082</v>
      </c>
      <c r="E80" s="26">
        <f>IFERROR(__xludf.DUMMYFUNCTION("""COMPUTED_VALUE"""),273.179186810503)</f>
        <v>273.1791868</v>
      </c>
    </row>
    <row r="81">
      <c r="A81" s="7">
        <f>IFERROR(__xludf.DUMMYFUNCTION("""COMPUTED_VALUE"""),87.0)</f>
        <v>87</v>
      </c>
      <c r="B81" s="24">
        <f>IFERROR(__xludf.DUMMYFUNCTION("""COMPUTED_VALUE"""),900.0491372826)</f>
        <v>900.0491373</v>
      </c>
      <c r="C81" s="25">
        <f>IFERROR(__xludf.DUMMYFUNCTION("""COMPUTED_VALUE"""),0.0215988725018897)</f>
        <v>0.0215988725</v>
      </c>
      <c r="D81" s="26">
        <f>IFERROR(__xludf.DUMMYFUNCTION("""COMPUTED_VALUE"""),0.356182165833099)</f>
        <v>0.3561821658</v>
      </c>
      <c r="E81" s="26">
        <f>IFERROR(__xludf.DUMMYFUNCTION("""COMPUTED_VALUE"""),124.98735393567)</f>
        <v>124.9873539</v>
      </c>
    </row>
    <row r="82">
      <c r="A82" s="7">
        <f>IFERROR(__xludf.DUMMYFUNCTION("""COMPUTED_VALUE"""),89.0)</f>
        <v>89</v>
      </c>
      <c r="B82" s="24">
        <f>IFERROR(__xludf.DUMMYFUNCTION("""COMPUTED_VALUE"""),1099.83425884731)</f>
        <v>1099.834259</v>
      </c>
      <c r="C82" s="25">
        <f>IFERROR(__xludf.DUMMYFUNCTION("""COMPUTED_VALUE"""),0.0260482968941714)</f>
        <v>0.02604829689</v>
      </c>
      <c r="D82" s="26">
        <f>IFERROR(__xludf.DUMMYFUNCTION("""COMPUTED_VALUE"""),0.324283795696362)</f>
        <v>0.3242837957</v>
      </c>
      <c r="E82" s="26">
        <f>IFERROR(__xludf.DUMMYFUNCTION("""COMPUTED_VALUE"""),113.817554029699)</f>
        <v>113.817554</v>
      </c>
    </row>
    <row r="83">
      <c r="A83" s="7">
        <f>IFERROR(__xludf.DUMMYFUNCTION("""COMPUTED_VALUE"""),91.0)</f>
        <v>91</v>
      </c>
      <c r="B83" s="24">
        <f>IFERROR(__xludf.DUMMYFUNCTION("""COMPUTED_VALUE"""),2131.53262587889)</f>
        <v>2131.532626</v>
      </c>
      <c r="C83" s="25">
        <f>IFERROR(__xludf.DUMMYFUNCTION("""COMPUTED_VALUE"""),0.0443767594064497)</f>
        <v>0.04437675941</v>
      </c>
      <c r="D83" s="26">
        <f>IFERROR(__xludf.DUMMYFUNCTION("""COMPUTED_VALUE"""),0.592331377182597)</f>
        <v>0.5923313772</v>
      </c>
      <c r="E83" s="26">
        <f>IFERROR(__xludf.DUMMYFUNCTION("""COMPUTED_VALUE"""),249.324078848998)</f>
        <v>249.3240788</v>
      </c>
    </row>
    <row r="84">
      <c r="A84" s="7">
        <f>IFERROR(__xludf.DUMMYFUNCTION("""COMPUTED_VALUE"""),97.0)</f>
        <v>97</v>
      </c>
      <c r="B84" s="24">
        <f>IFERROR(__xludf.DUMMYFUNCTION("""COMPUTED_VALUE"""),2149.90958120923)</f>
        <v>2149.909581</v>
      </c>
      <c r="C84" s="25">
        <f>IFERROR(__xludf.DUMMYFUNCTION("""COMPUTED_VALUE"""),0.0383009470617149)</f>
        <v>0.03830094706</v>
      </c>
      <c r="D84" s="26">
        <f>IFERROR(__xludf.DUMMYFUNCTION("""COMPUTED_VALUE"""),0.482045106997631)</f>
        <v>0.482045107</v>
      </c>
      <c r="E84" s="26">
        <f>IFERROR(__xludf.DUMMYFUNCTION("""COMPUTED_VALUE"""),200.590304814852)</f>
        <v>200.5903048</v>
      </c>
    </row>
    <row r="85">
      <c r="A85" s="7">
        <f>IFERROR(__xludf.DUMMYFUNCTION("""COMPUTED_VALUE"""),99.0)</f>
        <v>99</v>
      </c>
      <c r="B85" s="24">
        <f>IFERROR(__xludf.DUMMYFUNCTION("""COMPUTED_VALUE"""),2100.06904333991)</f>
        <v>2100.069043</v>
      </c>
      <c r="C85" s="25">
        <f>IFERROR(__xludf.DUMMYFUNCTION("""COMPUTED_VALUE"""),0.0395401946597942)</f>
        <v>0.03954019466</v>
      </c>
      <c r="D85" s="26">
        <f>IFERROR(__xludf.DUMMYFUNCTION("""COMPUTED_VALUE"""),0.632312878709867)</f>
        <v>0.6323128787</v>
      </c>
      <c r="E85" s="26">
        <f>IFERROR(__xludf.DUMMYFUNCTION("""COMPUTED_VALUE"""),254.483716174288)</f>
        <v>254.4837162</v>
      </c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6" max="6" width="15.25"/>
    <col customWidth="1" min="7" max="7" width="15.88"/>
  </cols>
  <sheetData>
    <row r="1">
      <c r="A1" s="8" t="s">
        <v>14</v>
      </c>
      <c r="B1" s="8" t="s">
        <v>15</v>
      </c>
      <c r="C1" s="8" t="s">
        <v>16</v>
      </c>
      <c r="D1" s="31"/>
      <c r="E1" s="8" t="s">
        <v>14</v>
      </c>
      <c r="F1" s="8" t="s">
        <v>15</v>
      </c>
      <c r="G1" s="8" t="s">
        <v>16</v>
      </c>
    </row>
    <row r="2">
      <c r="A2" s="9" t="s">
        <v>17</v>
      </c>
      <c r="B2" s="10">
        <f>ROWS(Virtual_sem_outliers[run])</f>
        <v>39</v>
      </c>
      <c r="C2" s="10">
        <f>ROWS(Tradicional_sem_outilers[run])</f>
        <v>43</v>
      </c>
      <c r="D2" s="31"/>
      <c r="E2" s="9" t="s">
        <v>17</v>
      </c>
      <c r="F2" s="10">
        <f>ROWS(Virtual_sem_outliers[run])</f>
        <v>39</v>
      </c>
      <c r="G2" s="10">
        <f>ROWS(Tradicional_sem_outilers[run])</f>
        <v>43</v>
      </c>
    </row>
    <row r="3">
      <c r="A3" s="12" t="s">
        <v>18</v>
      </c>
      <c r="B3" s="15">
        <f t="shared" ref="B3:C3" si="1">_xlfn.NORM.S.INV(1 - 0.05/2)</f>
        <v>1.959963986</v>
      </c>
      <c r="C3" s="16">
        <f t="shared" si="1"/>
        <v>1.959963986</v>
      </c>
      <c r="D3" s="31"/>
      <c r="E3" s="12" t="s">
        <v>18</v>
      </c>
      <c r="F3" s="15">
        <f t="shared" ref="F3:G3" si="2">_xlfn.NORM.S.INV(1 - 0.05/2)</f>
        <v>1.959963986</v>
      </c>
      <c r="G3" s="16">
        <f t="shared" si="2"/>
        <v>1.959963986</v>
      </c>
    </row>
    <row r="4">
      <c r="A4" s="9" t="s">
        <v>19</v>
      </c>
      <c r="B4" s="32">
        <f>Estatisticas_gerais!C21</f>
        <v>828.4152185</v>
      </c>
      <c r="C4" s="33">
        <f>Estatisticas_gerais!C26</f>
        <v>940.7841816</v>
      </c>
      <c r="D4" s="31"/>
      <c r="E4" s="9" t="s">
        <v>19</v>
      </c>
      <c r="F4" s="32">
        <f>Estatisticas_gerais!D21</f>
        <v>0.007327072621</v>
      </c>
      <c r="G4" s="33">
        <f>Estatisticas_gerais!D26</f>
        <v>0.01538855896</v>
      </c>
    </row>
    <row r="5">
      <c r="A5" s="12" t="s">
        <v>20</v>
      </c>
      <c r="B5" s="15">
        <f>0.1*Estatisticas_gerais!C17</f>
        <v>207.2139823</v>
      </c>
      <c r="C5" s="16">
        <f>0.1*Estatisticas_gerais!C22</f>
        <v>200.8155146</v>
      </c>
      <c r="D5" s="31"/>
      <c r="E5" s="12" t="s">
        <v>20</v>
      </c>
      <c r="F5" s="15">
        <f>0.1*Estatisticas_gerais!D17</f>
        <v>0.002256918877</v>
      </c>
      <c r="G5" s="16">
        <f>0.1*Estatisticas_gerais!D22</f>
        <v>0.00395063637</v>
      </c>
    </row>
    <row r="6">
      <c r="A6" s="19" t="s">
        <v>21</v>
      </c>
      <c r="B6" s="20">
        <f t="shared" ref="B6:C6" si="3">((B3*B4)/B5)^2
</f>
        <v>61.3979973</v>
      </c>
      <c r="C6" s="21">
        <f t="shared" si="3"/>
        <v>84.31050116</v>
      </c>
      <c r="D6" s="31"/>
      <c r="E6" s="19" t="s">
        <v>21</v>
      </c>
      <c r="F6" s="20">
        <f t="shared" ref="F6:G6" si="4">((F3*F4)/F5)^2
</f>
        <v>40.48790235</v>
      </c>
      <c r="G6" s="21">
        <f t="shared" si="4"/>
        <v>58.28515732</v>
      </c>
    </row>
    <row r="7">
      <c r="A7" s="31"/>
      <c r="B7" s="31"/>
      <c r="C7" s="31"/>
      <c r="D7" s="31"/>
    </row>
    <row r="9">
      <c r="A9" s="8" t="s">
        <v>14</v>
      </c>
      <c r="B9" s="8" t="s">
        <v>15</v>
      </c>
      <c r="C9" s="8" t="s">
        <v>16</v>
      </c>
      <c r="E9" s="8" t="s">
        <v>14</v>
      </c>
      <c r="F9" s="8" t="s">
        <v>15</v>
      </c>
      <c r="G9" s="8" t="s">
        <v>16</v>
      </c>
    </row>
    <row r="10">
      <c r="A10" s="9" t="s">
        <v>17</v>
      </c>
      <c r="B10" s="10">
        <f>ROWS(Virtual_sem_outliers[run])</f>
        <v>39</v>
      </c>
      <c r="C10" s="10">
        <f>ROWS(Tradicional_sem_outilers[run])</f>
        <v>43</v>
      </c>
      <c r="E10" s="9" t="s">
        <v>17</v>
      </c>
      <c r="F10" s="10">
        <f>ROWS(Virtual_sem_outliers[run])</f>
        <v>39</v>
      </c>
      <c r="G10" s="10">
        <f>ROWS(Tradicional_sem_outilers[run])</f>
        <v>43</v>
      </c>
    </row>
    <row r="11">
      <c r="A11" s="12" t="s">
        <v>18</v>
      </c>
      <c r="B11" s="15">
        <f t="shared" ref="B11:C11" si="5">_xlfn.NORM.S.INV(1 - 0.05/2)</f>
        <v>1.959963986</v>
      </c>
      <c r="C11" s="16">
        <f t="shared" si="5"/>
        <v>1.959963986</v>
      </c>
      <c r="E11" s="12" t="s">
        <v>18</v>
      </c>
      <c r="F11" s="15">
        <f t="shared" ref="F11:G11" si="6">_xlfn.NORM.S.INV(1 - 0.05/2)</f>
        <v>1.959963986</v>
      </c>
      <c r="G11" s="16">
        <f t="shared" si="6"/>
        <v>1.959963986</v>
      </c>
    </row>
    <row r="12">
      <c r="A12" s="9" t="s">
        <v>19</v>
      </c>
      <c r="B12" s="32">
        <f>Estatisticas_gerais!E21</f>
        <v>0.07237512907</v>
      </c>
      <c r="C12" s="33">
        <f>Estatisticas_gerais!E26</f>
        <v>0.09508065432</v>
      </c>
      <c r="E12" s="9" t="s">
        <v>19</v>
      </c>
      <c r="F12" s="32">
        <f>Estatisticas_gerais!F21</f>
        <v>43.32329973</v>
      </c>
      <c r="G12" s="33">
        <f>Estatisticas_gerais!F26</f>
        <v>56.36023115</v>
      </c>
    </row>
    <row r="13">
      <c r="A13" s="12" t="s">
        <v>20</v>
      </c>
      <c r="B13" s="15">
        <f>0.1*Estatisticas_gerais!E17</f>
        <v>0.04784022033</v>
      </c>
      <c r="C13" s="16">
        <f>0.1*Estatisticas_gerais!E22</f>
        <v>0.04790771205</v>
      </c>
      <c r="E13" s="12" t="s">
        <v>20</v>
      </c>
      <c r="F13" s="15">
        <f>0.1*Estatisticas_gerais!F17</f>
        <v>18.89607636</v>
      </c>
      <c r="G13" s="16">
        <f>0.1*Estatisticas_gerais!F22</f>
        <v>19.53437884</v>
      </c>
    </row>
    <row r="14">
      <c r="A14" s="19" t="s">
        <v>21</v>
      </c>
      <c r="B14" s="20">
        <f t="shared" ref="B14:C14" si="7">((B11*B12)/B13)^2
</f>
        <v>8.792017482</v>
      </c>
      <c r="C14" s="21">
        <f t="shared" si="7"/>
        <v>15.13107016</v>
      </c>
      <c r="E14" s="19" t="s">
        <v>21</v>
      </c>
      <c r="F14" s="20">
        <f t="shared" ref="F14:G14" si="8">((F11*F12)/F13)^2
</f>
        <v>20.19277317</v>
      </c>
      <c r="G14" s="21">
        <f t="shared" si="8"/>
        <v>31.97735234</v>
      </c>
    </row>
  </sheetData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4.88"/>
    <col customWidth="1" min="3" max="3" width="22.13"/>
    <col customWidth="1" min="4" max="4" width="19.5"/>
    <col customWidth="1" min="5" max="5" width="23.75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34" t="s">
        <v>26</v>
      </c>
      <c r="G1" s="2" t="s">
        <v>27</v>
      </c>
      <c r="H1" s="1" t="s">
        <v>28</v>
      </c>
    </row>
    <row r="2">
      <c r="A2" s="3">
        <v>50.0</v>
      </c>
      <c r="B2" s="35">
        <f>(_xlfn.T.INV.2T(0.05, A2) *Estatisticas_gerais!C11)/SQRT(A2)
</f>
        <v>318.4553643</v>
      </c>
      <c r="C2" s="36">
        <f>((H6+((Estatisticas_gerais!C7/50)*H7)*(A2/2))+(H6+((Estatisticas_gerais!C2/50)*H7)*(A2/2)))/24</f>
        <v>6.07213943</v>
      </c>
      <c r="D2" s="24">
        <f t="shared" ref="D2:D5" si="1">C2</f>
        <v>6.07213943</v>
      </c>
      <c r="E2" s="27"/>
      <c r="G2" s="3" t="s">
        <v>29</v>
      </c>
      <c r="H2" s="37">
        <v>0.041666666666666664</v>
      </c>
    </row>
    <row r="3">
      <c r="A3" s="7">
        <f>60</f>
        <v>60</v>
      </c>
      <c r="B3" s="35">
        <f>(_xlfn.T.INV.2T(0.05, A3) *Estatisticas_gerais!C11)/SQRT(A3)
</f>
        <v>289.5129471</v>
      </c>
      <c r="C3" s="36">
        <f>((H6+((Estatisticas_gerais!C7/50)*H7)*(A3/2))+(H6+((Estatisticas_gerais!C2/50)*H7)*(A3/2)))/24</f>
        <v>7.281474723</v>
      </c>
      <c r="D3" s="24">
        <f t="shared" si="1"/>
        <v>7.281474723</v>
      </c>
      <c r="E3" s="38">
        <f t="shared" ref="E3:E5" si="2">$B$2-B3</f>
        <v>28.94241716</v>
      </c>
      <c r="G3" s="3" t="s">
        <v>30</v>
      </c>
      <c r="H3" s="37">
        <v>0.16666666666666666</v>
      </c>
    </row>
    <row r="4">
      <c r="A4" s="7">
        <f t="shared" ref="A4:A5" si="3">A3+20</f>
        <v>80</v>
      </c>
      <c r="B4" s="35">
        <f>(_xlfn.T.INV.2T(0.05, A4) *Estatisticas_gerais!C11)/SQRT(A4)
</f>
        <v>249.442745</v>
      </c>
      <c r="C4" s="36">
        <f>((H6+((Estatisticas_gerais!C7/50)*H7)*(A4/2))+(H6+((Estatisticas_gerais!C2/50)*H7)*(A4/2)))/24</f>
        <v>9.70014531</v>
      </c>
      <c r="D4" s="24">
        <f t="shared" si="1"/>
        <v>9.70014531</v>
      </c>
      <c r="E4" s="38">
        <f t="shared" si="2"/>
        <v>69.01261928</v>
      </c>
      <c r="G4" s="3" t="s">
        <v>31</v>
      </c>
      <c r="H4" s="37">
        <v>0.05555555555555555</v>
      </c>
    </row>
    <row r="5">
      <c r="A5" s="7">
        <f t="shared" si="3"/>
        <v>100</v>
      </c>
      <c r="B5" s="35">
        <f>(_xlfn.T.INV.2T(0.05, A5) *Estatisticas_gerais!C11)/SQRT(A5)
</f>
        <v>222.4254033</v>
      </c>
      <c r="C5" s="36">
        <f>((H6+((Estatisticas_gerais!C7/50)*H7)*(A5/2))+(H6+((Estatisticas_gerais!C2/50)*H7)*(A5/2)))/24</f>
        <v>12.1188159</v>
      </c>
      <c r="D5" s="24">
        <f t="shared" si="1"/>
        <v>12.1188159</v>
      </c>
      <c r="E5" s="38">
        <f t="shared" si="2"/>
        <v>96.02996101</v>
      </c>
      <c r="G5" s="3" t="s">
        <v>32</v>
      </c>
      <c r="H5" s="37">
        <v>0.041666666666666664</v>
      </c>
    </row>
    <row r="6">
      <c r="B6" s="39"/>
      <c r="G6" s="3" t="s">
        <v>33</v>
      </c>
      <c r="H6" s="37">
        <f>SUM(H2:H5)</f>
        <v>0.3055555556</v>
      </c>
    </row>
    <row r="7">
      <c r="B7" s="39"/>
      <c r="G7" s="3" t="s">
        <v>34</v>
      </c>
      <c r="H7" s="37">
        <v>0.0625</v>
      </c>
    </row>
    <row r="8">
      <c r="A8" s="1" t="s">
        <v>22</v>
      </c>
      <c r="B8" s="1" t="s">
        <v>23</v>
      </c>
      <c r="C8" s="1" t="s">
        <v>24</v>
      </c>
      <c r="D8" s="1" t="s">
        <v>25</v>
      </c>
      <c r="E8" s="34" t="s">
        <v>26</v>
      </c>
    </row>
    <row r="9">
      <c r="A9" s="3">
        <v>50.0</v>
      </c>
      <c r="B9" s="35">
        <f>(_xlfn.T.INV.2T(0.05, A9) *Estatisticas_gerais!C6)/SQRT(A9)
</f>
        <v>312.7461832</v>
      </c>
      <c r="C9" s="36">
        <f>((H6+((Estatisticas_gerais!C7/50)*H7)*(A2/2))+(H6+((Estatisticas_gerais!C2/50)*H7)*(A2/2)))/24</f>
        <v>6.07213943</v>
      </c>
      <c r="D9" s="24">
        <f t="shared" ref="D9:D12" si="4">C9</f>
        <v>6.07213943</v>
      </c>
      <c r="E9" s="27"/>
    </row>
    <row r="10">
      <c r="A10" s="7">
        <f>60</f>
        <v>60</v>
      </c>
      <c r="B10" s="35">
        <f>(_xlfn.T.INV.2T(0.05, A10) *Estatisticas_gerais!C6)/SQRT(A10)
</f>
        <v>284.3226378</v>
      </c>
      <c r="C10" s="36">
        <f>((H6+((Estatisticas_gerais!C7/50)*H7)*(A3/2))+(H6+((Estatisticas_gerais!C2/50)*H7)*(A3/2)))/24</f>
        <v>7.281474723</v>
      </c>
      <c r="D10" s="24">
        <f t="shared" si="4"/>
        <v>7.281474723</v>
      </c>
      <c r="E10" s="38">
        <f t="shared" ref="E10:E12" si="5">$B$9-B10</f>
        <v>28.42354538</v>
      </c>
    </row>
    <row r="11">
      <c r="A11" s="7">
        <f t="shared" ref="A11:A12" si="6">A10+20</f>
        <v>80</v>
      </c>
      <c r="B11" s="35">
        <f>(_xlfn.T.INV.2T(0.05, A11) *Estatisticas_gerais!C6)/SQRT(A11)
</f>
        <v>244.9708034</v>
      </c>
      <c r="C11" s="36">
        <f>((H6+((Estatisticas_gerais!C7/50)*H7)*(A4/2))+(H6+((Estatisticas_gerais!C2/50)*H7)*(A4/2)))/24</f>
        <v>9.70014531</v>
      </c>
      <c r="D11" s="24">
        <f t="shared" si="4"/>
        <v>9.70014531</v>
      </c>
      <c r="E11" s="38">
        <f t="shared" si="5"/>
        <v>67.77537983</v>
      </c>
    </row>
    <row r="12">
      <c r="A12" s="7">
        <f t="shared" si="6"/>
        <v>100</v>
      </c>
      <c r="B12" s="35">
        <f>(_xlfn.T.INV.2T(0.05, A12) *Estatisticas_gerais!C6)/SQRT(A12)
</f>
        <v>218.4378212</v>
      </c>
      <c r="C12" s="36">
        <f>((H6+((Estatisticas_gerais!C7/50)*H7)*(A5/2))+(H6+((Estatisticas_gerais!C2/50)*H7)*(A5/2)))/24</f>
        <v>12.1188159</v>
      </c>
      <c r="D12" s="24">
        <f t="shared" si="4"/>
        <v>12.1188159</v>
      </c>
      <c r="E12" s="38">
        <f t="shared" si="5"/>
        <v>94.30836201</v>
      </c>
    </row>
  </sheetData>
  <dataValidations>
    <dataValidation type="custom" allowBlank="1" showDropDown="1" sqref="B2:B5 D2:D5 B9:B12 D9:D12">
      <formula1>AND(ISNUMBER(B2),(NOT(OR(NOT(ISERROR(DATEVALUE(B2))), AND(ISNUMBER(B2), LEFT(CELL("format", B2))="D")))))</formula1>
    </dataValidation>
  </dataValidations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</cols>
  <sheetData>
    <row r="1">
      <c r="A1" s="8" t="s">
        <v>35</v>
      </c>
      <c r="B1" s="8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9" t="s">
        <v>15</v>
      </c>
      <c r="B2" s="40" t="s">
        <v>36</v>
      </c>
      <c r="C2" s="24">
        <f>AVERAGE(Virtual[rate])</f>
        <v>2404.034386</v>
      </c>
      <c r="D2" s="41">
        <f>AVERAGE(Virtual[cpu])</f>
        <v>0.02514302106</v>
      </c>
      <c r="E2" s="24">
        <f>AVERAGE(Virtual[memoria_gb])</f>
        <v>0.5009406299</v>
      </c>
      <c r="F2" s="26">
        <f>AVERAGE(Virtual[heap_mb])</f>
        <v>200.0410776</v>
      </c>
    </row>
    <row r="3">
      <c r="A3" s="12" t="s">
        <v>15</v>
      </c>
      <c r="B3" s="42" t="s">
        <v>37</v>
      </c>
      <c r="C3" s="24">
        <f>MEDIAN(Virtual[rate])</f>
        <v>2375.099765</v>
      </c>
      <c r="D3" s="41">
        <f>MEDIAN(Virtual[cpu])</f>
        <v>0.02523861956</v>
      </c>
      <c r="E3" s="24">
        <f>MEDIAN(Virtual[memoria_gb])</f>
        <v>0.5096394611</v>
      </c>
      <c r="F3" s="26">
        <f>MEDIAN(Virtual[heap_mb])</f>
        <v>206.929167</v>
      </c>
    </row>
    <row r="4">
      <c r="A4" s="9" t="s">
        <v>15</v>
      </c>
      <c r="B4" s="40" t="s">
        <v>38</v>
      </c>
      <c r="C4" s="24">
        <f>MIN(Virtual[rate])</f>
        <v>600.0863871</v>
      </c>
      <c r="D4" s="41">
        <f>MIN(Virtual[cpu])</f>
        <v>0.002981058941</v>
      </c>
      <c r="E4" s="24">
        <f>MIN(Virtual[memoria_gb])</f>
        <v>0.2154194644</v>
      </c>
      <c r="F4" s="24">
        <f>MIN(Virtual[heap_mb])</f>
        <v>41.68662262</v>
      </c>
    </row>
    <row r="5">
      <c r="A5" s="12" t="s">
        <v>15</v>
      </c>
      <c r="B5" s="42" t="s">
        <v>39</v>
      </c>
      <c r="C5" s="24">
        <f>MAX(Virtual[rate])</f>
        <v>4849.698176</v>
      </c>
      <c r="D5" s="41">
        <f>MAX(Virtual[cpu])</f>
        <v>0.04461642317</v>
      </c>
      <c r="E5" s="24">
        <f>MAX(Virtual[memoria_gb])</f>
        <v>0.8270050668</v>
      </c>
      <c r="F5" s="24">
        <f>MAX(Virtual[heap_mb])</f>
        <v>298.6608439</v>
      </c>
    </row>
    <row r="6">
      <c r="A6" s="9" t="s">
        <v>15</v>
      </c>
      <c r="B6" s="40" t="s">
        <v>40</v>
      </c>
      <c r="C6" s="24">
        <f> STDEV(Virtual[rate])</f>
        <v>1101.012888</v>
      </c>
      <c r="D6" s="41">
        <f> STDEV(Virtual[cpu])</f>
        <v>0.009645933673</v>
      </c>
      <c r="E6" s="24">
        <f> STDEV(Virtual[memoria_gb])</f>
        <v>0.1143236708</v>
      </c>
      <c r="F6" s="24">
        <f> STDEV(Virtual[heap_mb])</f>
        <v>57.01014422</v>
      </c>
    </row>
    <row r="7">
      <c r="A7" s="12" t="s">
        <v>16</v>
      </c>
      <c r="B7" s="42" t="s">
        <v>36</v>
      </c>
      <c r="C7" s="24">
        <f>AVERAGE(Tradicional[rate])</f>
        <v>2239.813141</v>
      </c>
      <c r="D7" s="41">
        <f>AVERAGE(Tradicional[cpu])</f>
        <v>0.04246174298</v>
      </c>
      <c r="E7" s="24">
        <f>AVERAGE(Tradicional[memoria_gb])</f>
        <v>0.5019681677</v>
      </c>
      <c r="F7" s="26">
        <f>AVERAGE(Tradicional[heap_mb])</f>
        <v>206.1097295</v>
      </c>
    </row>
    <row r="8">
      <c r="A8" s="9" t="s">
        <v>16</v>
      </c>
      <c r="B8" s="40" t="s">
        <v>37</v>
      </c>
      <c r="C8" s="24">
        <f>MEDIAN(Tradicional[rate])</f>
        <v>2075.07622</v>
      </c>
      <c r="D8" s="41">
        <f>MEDIAN(Tradicional[cpu])</f>
        <v>0.04259388511</v>
      </c>
      <c r="E8" s="24">
        <f>MEDIAN(Tradicional[memoria_gb])</f>
        <v>0.4862969482</v>
      </c>
      <c r="F8" s="26">
        <f>MEDIAN(Tradicional[heap_mb])</f>
        <v>199.498973</v>
      </c>
    </row>
    <row r="9">
      <c r="A9" s="12" t="s">
        <v>16</v>
      </c>
      <c r="B9" s="42" t="s">
        <v>38</v>
      </c>
      <c r="C9" s="24">
        <f>MIN(Tradicional[rate])</f>
        <v>400.1251848</v>
      </c>
      <c r="D9" s="41">
        <f>MIN(Tradicional[cpu])</f>
        <v>0.00019308805</v>
      </c>
      <c r="E9" s="24">
        <f>MIN(Tradicional[memoria_gb])</f>
        <v>0.3073317412</v>
      </c>
      <c r="F9" s="24">
        <f>MIN(Tradicional[heap_mb])</f>
        <v>91.55005944</v>
      </c>
    </row>
    <row r="10">
      <c r="A10" s="9" t="s">
        <v>16</v>
      </c>
      <c r="B10" s="40" t="s">
        <v>39</v>
      </c>
      <c r="C10" s="24">
        <f>MAX(Tradicional[rate])</f>
        <v>5149.544304</v>
      </c>
      <c r="D10" s="41">
        <f>MAX(Tradicional[cpu])</f>
        <v>0.07302754115</v>
      </c>
      <c r="E10" s="24">
        <f>MAX(Tradicional[memoria_gb])</f>
        <v>0.8751904202</v>
      </c>
      <c r="F10" s="24">
        <f>MAX(Tradicional[heap_mb])</f>
        <v>412.5168808</v>
      </c>
    </row>
    <row r="11">
      <c r="A11" s="43" t="s">
        <v>16</v>
      </c>
      <c r="B11" s="44" t="s">
        <v>40</v>
      </c>
      <c r="C11" s="24">
        <f> STDEV(Tradicional[rate])</f>
        <v>1121.111877</v>
      </c>
      <c r="D11" s="41">
        <f> STDEV(Tradicional[cpu])</f>
        <v>0.01678252952</v>
      </c>
      <c r="E11" s="24">
        <f> STDEV(Tradicional[memoria_gb])</f>
        <v>0.123671369</v>
      </c>
      <c r="F11" s="24">
        <f> STDEV(Tradicional[heap_mb])</f>
        <v>65.39652318</v>
      </c>
    </row>
    <row r="16">
      <c r="A16" s="8" t="s">
        <v>35</v>
      </c>
      <c r="B16" s="8" t="s">
        <v>6</v>
      </c>
      <c r="C16" s="1" t="s">
        <v>1</v>
      </c>
      <c r="D16" s="1" t="s">
        <v>2</v>
      </c>
      <c r="E16" s="1" t="s">
        <v>3</v>
      </c>
      <c r="F16" s="1" t="s">
        <v>4</v>
      </c>
    </row>
    <row r="17">
      <c r="A17" s="9" t="s">
        <v>15</v>
      </c>
      <c r="B17" s="40" t="s">
        <v>36</v>
      </c>
      <c r="C17" s="24">
        <f>AVERAGE(Virtual_sem_outliers[rate])</f>
        <v>2072.139823</v>
      </c>
      <c r="D17" s="41">
        <f>AVERAGE(Virtual_sem_outliers[cpu])</f>
        <v>0.02256918877</v>
      </c>
      <c r="E17" s="45">
        <f>AVERAGE(Virtual_sem_outliers[memoria_gb])</f>
        <v>0.4784022033</v>
      </c>
      <c r="F17" s="26">
        <f>AVERAGE(Virtual_sem_outliers[heap_mb])</f>
        <v>188.9607636</v>
      </c>
    </row>
    <row r="18">
      <c r="A18" s="12" t="s">
        <v>15</v>
      </c>
      <c r="B18" s="42" t="s">
        <v>37</v>
      </c>
      <c r="C18" s="24">
        <f>MEDIAN(Virtual_sem_outliers[rate])</f>
        <v>2200.268964</v>
      </c>
      <c r="D18" s="41">
        <f>MEDIAN(Virtual_sem_outliers[cpu])</f>
        <v>0.02443474341</v>
      </c>
      <c r="E18" s="45">
        <f>MEDIAN(Virtual_sem_outliers[memoria_gb])</f>
        <v>0.4925750882</v>
      </c>
      <c r="F18" s="26">
        <f>MEDIAN(Virtual_sem_outliers[heap_mb])</f>
        <v>192.0512609</v>
      </c>
    </row>
    <row r="19">
      <c r="A19" s="9" t="s">
        <v>15</v>
      </c>
      <c r="B19" s="40" t="s">
        <v>38</v>
      </c>
      <c r="C19" s="24">
        <f>MIN(Virtual_sem_outliers[rate])</f>
        <v>600.0863871</v>
      </c>
      <c r="D19" s="41">
        <f>MIN(Virtual_sem_outliers[cpu])</f>
        <v>0.00844058513</v>
      </c>
      <c r="E19" s="45">
        <f>MIN(Virtual_sem_outliers[memoria_gb])</f>
        <v>0.3099080938</v>
      </c>
      <c r="F19" s="24">
        <f>MIN(Virtual_sem_outliers[heap_mb])</f>
        <v>88.43489942</v>
      </c>
    </row>
    <row r="20">
      <c r="A20" s="12" t="s">
        <v>15</v>
      </c>
      <c r="B20" s="42" t="s">
        <v>39</v>
      </c>
      <c r="C20" s="24">
        <f>MAX(Virtual_sem_outliers[rate])</f>
        <v>3549.826383</v>
      </c>
      <c r="D20" s="41">
        <f>MAX(Virtual_sem_outliers[cpu])</f>
        <v>0.0357094975</v>
      </c>
      <c r="E20" s="45">
        <f>MAX(Virtual_sem_outliers[memoria_gb])</f>
        <v>0.6019736398</v>
      </c>
      <c r="F20" s="24">
        <f>MAX(Virtual_sem_outliers[heap_mb])</f>
        <v>265.4973828</v>
      </c>
    </row>
    <row r="21">
      <c r="A21" s="9" t="s">
        <v>15</v>
      </c>
      <c r="B21" s="40" t="s">
        <v>40</v>
      </c>
      <c r="C21" s="24">
        <f> STDEV(Virtual_sem_outliers[rate])</f>
        <v>828.4152185</v>
      </c>
      <c r="D21" s="41">
        <f> STDEV(Virtual_sem_outliers[cpu])</f>
        <v>0.007327072621</v>
      </c>
      <c r="E21" s="45">
        <f> STDEV(Virtual_sem_outliers[memoria_gb])</f>
        <v>0.07237512907</v>
      </c>
      <c r="F21" s="24">
        <f> STDEV(Virtual_sem_outliers[heap_mb])</f>
        <v>43.32329973</v>
      </c>
    </row>
    <row r="22">
      <c r="A22" s="12" t="s">
        <v>16</v>
      </c>
      <c r="B22" s="42" t="s">
        <v>36</v>
      </c>
      <c r="C22" s="24">
        <f>AVERAGE(Tradicional_sem_outilers[rate])</f>
        <v>2008.155146</v>
      </c>
      <c r="D22" s="41">
        <f>AVERAGE(Tradicional_sem_outilers[cpu])</f>
        <v>0.0395063637</v>
      </c>
      <c r="E22" s="45">
        <f>AVERAGE(Tradicional_sem_outilers[memoria_gb])</f>
        <v>0.4790771205</v>
      </c>
      <c r="F22" s="26">
        <f>AVERAGE(Tradicional_sem_outilers[heap_mb])</f>
        <v>195.3437884</v>
      </c>
    </row>
    <row r="23">
      <c r="A23" s="9" t="s">
        <v>16</v>
      </c>
      <c r="B23" s="40" t="s">
        <v>37</v>
      </c>
      <c r="C23" s="24">
        <f>MEDIAN(Tradicional_sem_outilers[rate])</f>
        <v>1870.681185</v>
      </c>
      <c r="D23" s="41">
        <f>MEDIAN(Tradicional_sem_outilers[cpu])</f>
        <v>0.0409533326</v>
      </c>
      <c r="E23" s="45">
        <f>MEDIAN(Tradicional_sem_outilers[memoria_gb])</f>
        <v>0.4862969482</v>
      </c>
      <c r="F23" s="26">
        <f>MEDIAN(Tradicional_sem_outilers[heap_mb])</f>
        <v>196.7163084</v>
      </c>
    </row>
    <row r="24">
      <c r="A24" s="12" t="s">
        <v>16</v>
      </c>
      <c r="B24" s="42" t="s">
        <v>38</v>
      </c>
      <c r="C24" s="24">
        <f>MIN(Tradicional_sem_outilers[rate])</f>
        <v>400.1251848</v>
      </c>
      <c r="D24" s="41">
        <f>MIN(Tradicional_sem_outilers[cpu])</f>
        <v>0.00019308805</v>
      </c>
      <c r="E24" s="45">
        <f>MIN(Tradicional_sem_outilers[memoria_gb])</f>
        <v>0.3073317412</v>
      </c>
      <c r="F24" s="24">
        <f>MIN(Tradicional_sem_outilers[heap_mb])</f>
        <v>91.55005944</v>
      </c>
    </row>
    <row r="25">
      <c r="A25" s="9" t="s">
        <v>16</v>
      </c>
      <c r="B25" s="40" t="s">
        <v>39</v>
      </c>
      <c r="C25" s="24">
        <f>MAX(Tradicional_sem_outilers[rate])</f>
        <v>3900.073799</v>
      </c>
      <c r="D25" s="41">
        <f>MAX(Tradicional_sem_outilers[cpu])</f>
        <v>0.06340085583</v>
      </c>
      <c r="E25" s="45">
        <f>MAX(Tradicional_sem_outilers[memoria_gb])</f>
        <v>0.6323128787</v>
      </c>
      <c r="F25" s="24">
        <f>MAX(Tradicional_sem_outilers[heap_mb])</f>
        <v>285.4863626</v>
      </c>
    </row>
    <row r="26">
      <c r="A26" s="43" t="s">
        <v>16</v>
      </c>
      <c r="B26" s="44" t="s">
        <v>40</v>
      </c>
      <c r="C26" s="24">
        <f> STDEV(Tradicional_sem_outilers[rate])</f>
        <v>940.7841816</v>
      </c>
      <c r="D26" s="41">
        <f> STDEV(Tradicional_sem_outilers[cpu])</f>
        <v>0.01538855896</v>
      </c>
      <c r="E26" s="45">
        <f> STDEV(Tradicional_sem_outilers[memoria_gb])</f>
        <v>0.09508065432</v>
      </c>
      <c r="F26" s="24">
        <f> STDEV(Tradicional_sem_outilers[heap_mb])</f>
        <v>56.36023115</v>
      </c>
    </row>
  </sheetData>
  <dataValidations>
    <dataValidation type="custom" allowBlank="1" showDropDown="1" sqref="D2:E11 D17:E26">
      <formula1>AND(ISNUMBER(D2),(NOT(OR(NOT(ISERROR(DATEVALUE(D2))), AND(ISNUMBER(D2), LEFT(CELL("format", D2))="D")))))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9" max="9" width="17.75"/>
  </cols>
  <sheetData>
    <row r="1">
      <c r="A1" s="8" t="s">
        <v>35</v>
      </c>
      <c r="B1" s="8" t="s">
        <v>6</v>
      </c>
      <c r="C1" s="8" t="s">
        <v>1</v>
      </c>
      <c r="D1" s="8" t="s">
        <v>41</v>
      </c>
      <c r="E1" s="8" t="s">
        <v>42</v>
      </c>
      <c r="F1" s="8" t="s">
        <v>43</v>
      </c>
      <c r="H1" s="46"/>
      <c r="I1" s="46"/>
      <c r="J1" s="46"/>
      <c r="K1" s="46"/>
      <c r="L1" s="46"/>
      <c r="M1" s="46"/>
    </row>
    <row r="2">
      <c r="A2" s="9" t="s">
        <v>15</v>
      </c>
      <c r="B2" s="40" t="s">
        <v>22</v>
      </c>
      <c r="C2" s="24">
        <f>ROWS(Virtual_sem_outliers[run])</f>
        <v>39</v>
      </c>
      <c r="D2" s="24">
        <f>ROWS(Virtual_sem_outliers[run])</f>
        <v>39</v>
      </c>
      <c r="E2" s="24">
        <f>ROWS(Virtual_sem_outliers[run])</f>
        <v>39</v>
      </c>
      <c r="F2" s="26">
        <f>ROWS(Virtual_sem_outliers[run])</f>
        <v>39</v>
      </c>
      <c r="H2" s="46"/>
      <c r="I2" s="46"/>
      <c r="J2" s="46"/>
      <c r="K2" s="46"/>
      <c r="L2" s="46"/>
      <c r="M2" s="46"/>
    </row>
    <row r="3">
      <c r="A3" s="12" t="s">
        <v>15</v>
      </c>
      <c r="B3" s="42" t="s">
        <v>44</v>
      </c>
      <c r="C3" s="24">
        <f>ROWS(Virtual_sem_outliers[run])-1</f>
        <v>38</v>
      </c>
      <c r="D3" s="24">
        <f>ROWS(Virtual_sem_outliers[run])-1</f>
        <v>38</v>
      </c>
      <c r="E3" s="24">
        <f>ROWS(Virtual_sem_outliers[run])-1</f>
        <v>38</v>
      </c>
      <c r="F3" s="26">
        <f>ROWS(Virtual_sem_outliers[run])-1</f>
        <v>38</v>
      </c>
      <c r="H3" s="46"/>
      <c r="I3" s="46"/>
      <c r="J3" s="46"/>
      <c r="K3" s="46"/>
      <c r="L3" s="46"/>
      <c r="M3" s="46"/>
    </row>
    <row r="4">
      <c r="A4" s="9" t="s">
        <v>15</v>
      </c>
      <c r="B4" s="40" t="s">
        <v>45</v>
      </c>
      <c r="C4" s="24">
        <f t="shared" ref="C4:F4" si="1"> _xlfn.T.INV(0.975, C3) </f>
        <v>2.024394164</v>
      </c>
      <c r="D4" s="24">
        <f t="shared" si="1"/>
        <v>2.024394164</v>
      </c>
      <c r="E4" s="24">
        <f t="shared" si="1"/>
        <v>2.024394164</v>
      </c>
      <c r="F4" s="26">
        <f t="shared" si="1"/>
        <v>2.024394164</v>
      </c>
      <c r="H4" s="46"/>
      <c r="I4" s="46"/>
      <c r="J4" s="46"/>
      <c r="K4" s="46"/>
      <c r="L4" s="46"/>
      <c r="M4" s="46"/>
    </row>
    <row r="5">
      <c r="A5" s="12" t="s">
        <v>15</v>
      </c>
      <c r="B5" s="42" t="s">
        <v>46</v>
      </c>
      <c r="C5" s="28">
        <f>Estatisticas_gerais!C21/SQRT(C2)</f>
        <v>132.6525995</v>
      </c>
      <c r="D5" s="28">
        <f>Estatisticas_gerais!D21/SQRT(D2)</f>
        <v>0.001173270612</v>
      </c>
      <c r="E5" s="28">
        <f>Estatisticas_gerais!E21/SQRT(E2)</f>
        <v>0.0115892958</v>
      </c>
      <c r="F5" s="30">
        <f>Estatisticas_gerais!F21/SQRT(F2)</f>
        <v>6.937280003</v>
      </c>
      <c r="H5" s="46"/>
      <c r="I5" s="46"/>
      <c r="J5" s="46"/>
      <c r="K5" s="46"/>
      <c r="L5" s="46"/>
      <c r="M5" s="46"/>
    </row>
    <row r="6">
      <c r="A6" s="9" t="s">
        <v>15</v>
      </c>
      <c r="B6" s="40" t="s">
        <v>47</v>
      </c>
      <c r="C6" s="24">
        <f t="shared" ref="C6:F6" si="2"> C4*C5</f>
        <v>268.5411483</v>
      </c>
      <c r="D6" s="24">
        <f t="shared" si="2"/>
        <v>0.002375162179</v>
      </c>
      <c r="E6" s="24">
        <f t="shared" si="2"/>
        <v>0.02346130278</v>
      </c>
      <c r="F6" s="26">
        <f t="shared" si="2"/>
        <v>14.04378915</v>
      </c>
      <c r="H6" s="46"/>
      <c r="I6" s="46"/>
      <c r="J6" s="46"/>
      <c r="K6" s="46"/>
      <c r="L6" s="46"/>
      <c r="M6" s="46"/>
    </row>
    <row r="7">
      <c r="A7" s="12" t="s">
        <v>15</v>
      </c>
      <c r="B7" s="42" t="s">
        <v>48</v>
      </c>
      <c r="C7" s="28">
        <f>Estatisticas_gerais!C17-C6</f>
        <v>1803.598675</v>
      </c>
      <c r="D7" s="28">
        <f>Estatisticas_gerais!D17-D6</f>
        <v>0.02019402659</v>
      </c>
      <c r="E7" s="28">
        <f>Estatisticas_gerais!E17-E6</f>
        <v>0.4549409005</v>
      </c>
      <c r="F7" s="30">
        <f>Estatisticas_gerais!F17-F6</f>
        <v>174.9169745</v>
      </c>
      <c r="H7" s="46"/>
      <c r="I7" s="46"/>
      <c r="J7" s="46"/>
      <c r="K7" s="46"/>
      <c r="L7" s="46"/>
      <c r="M7" s="46"/>
    </row>
    <row r="8">
      <c r="A8" s="19" t="s">
        <v>15</v>
      </c>
      <c r="B8" s="47" t="s">
        <v>49</v>
      </c>
      <c r="C8" s="28">
        <f>Estatisticas_gerais!C17+C6</f>
        <v>2340.680971</v>
      </c>
      <c r="D8" s="28">
        <f>Estatisticas_gerais!D17+D6</f>
        <v>0.02494435095</v>
      </c>
      <c r="E8" s="28">
        <f>Estatisticas_gerais!E17+E6</f>
        <v>0.501863506</v>
      </c>
      <c r="F8" s="30">
        <f>Estatisticas_gerais!F17+F6</f>
        <v>203.0045528</v>
      </c>
      <c r="H8" s="46"/>
      <c r="I8" s="46"/>
      <c r="J8" s="46"/>
      <c r="K8" s="46"/>
      <c r="L8" s="46"/>
      <c r="M8" s="46"/>
    </row>
    <row r="11">
      <c r="A11" s="8" t="s">
        <v>35</v>
      </c>
      <c r="B11" s="8" t="s">
        <v>6</v>
      </c>
      <c r="C11" s="8" t="s">
        <v>1</v>
      </c>
      <c r="D11" s="8" t="s">
        <v>41</v>
      </c>
      <c r="E11" s="8" t="s">
        <v>42</v>
      </c>
      <c r="F11" s="8" t="s">
        <v>43</v>
      </c>
      <c r="H11" s="46"/>
      <c r="I11" s="46"/>
      <c r="J11" s="46"/>
      <c r="K11" s="46"/>
      <c r="L11" s="46"/>
      <c r="M11" s="46"/>
    </row>
    <row r="12">
      <c r="A12" s="48" t="s">
        <v>16</v>
      </c>
      <c r="B12" s="40" t="s">
        <v>22</v>
      </c>
      <c r="C12" s="24">
        <f>ROWS(Tradicional_sem_outilers[run])</f>
        <v>43</v>
      </c>
      <c r="D12" s="24">
        <f>ROWS(Tradicional_sem_outilers[run])</f>
        <v>43</v>
      </c>
      <c r="E12" s="24">
        <f>ROWS(Tradicional_sem_outilers[run])</f>
        <v>43</v>
      </c>
      <c r="F12" s="26">
        <f>ROWS(Tradicional_sem_outilers[run])</f>
        <v>43</v>
      </c>
      <c r="H12" s="46"/>
      <c r="I12" s="46"/>
      <c r="J12" s="46"/>
      <c r="K12" s="46"/>
      <c r="L12" s="46"/>
      <c r="M12" s="46"/>
    </row>
    <row r="13">
      <c r="A13" s="48" t="s">
        <v>16</v>
      </c>
      <c r="B13" s="42" t="s">
        <v>44</v>
      </c>
      <c r="C13" s="24">
        <f>ROWS(Tradicional_sem_outilers[run])-1</f>
        <v>42</v>
      </c>
      <c r="D13" s="24">
        <f>ROWS(Tradicional_sem_outilers[run])-1</f>
        <v>42</v>
      </c>
      <c r="E13" s="24">
        <f>ROWS(Tradicional_sem_outilers[run])-1</f>
        <v>42</v>
      </c>
      <c r="F13" s="26">
        <f>ROWS(Tradicional_sem_outilers[run])-1</f>
        <v>42</v>
      </c>
      <c r="H13" s="46"/>
      <c r="I13" s="46"/>
      <c r="J13" s="46"/>
      <c r="K13" s="46"/>
      <c r="L13" s="46"/>
      <c r="M13" s="46"/>
    </row>
    <row r="14">
      <c r="A14" s="48" t="s">
        <v>16</v>
      </c>
      <c r="B14" s="40" t="s">
        <v>45</v>
      </c>
      <c r="C14" s="24">
        <f t="shared" ref="C14:F14" si="3"> _xlfn.T.INV(0.975, C13) </f>
        <v>2.018081703</v>
      </c>
      <c r="D14" s="24">
        <f t="shared" si="3"/>
        <v>2.018081703</v>
      </c>
      <c r="E14" s="24">
        <f t="shared" si="3"/>
        <v>2.018081703</v>
      </c>
      <c r="F14" s="26">
        <f t="shared" si="3"/>
        <v>2.018081703</v>
      </c>
      <c r="H14" s="46"/>
      <c r="I14" s="46"/>
      <c r="J14" s="46"/>
      <c r="K14" s="46"/>
      <c r="L14" s="46"/>
      <c r="M14" s="46"/>
    </row>
    <row r="15">
      <c r="A15" s="48" t="s">
        <v>16</v>
      </c>
      <c r="B15" s="42" t="s">
        <v>46</v>
      </c>
      <c r="C15" s="28">
        <f>Estatisticas_gerais!C26/SQRT(C12)</f>
        <v>143.4682427</v>
      </c>
      <c r="D15" s="28">
        <f>Estatisticas_gerais!D26/SQRT(D12)</f>
        <v>0.00234673324</v>
      </c>
      <c r="E15" s="28">
        <f>Estatisticas_gerais!E26/SQRT(E12)</f>
        <v>0.01449966385</v>
      </c>
      <c r="F15" s="30">
        <f>Estatisticas_gerais!F26/SQRT(F12)</f>
        <v>8.594854674</v>
      </c>
      <c r="H15" s="46"/>
      <c r="I15" s="46"/>
      <c r="J15" s="46"/>
      <c r="K15" s="46"/>
      <c r="L15" s="46"/>
      <c r="M15" s="46"/>
    </row>
    <row r="16">
      <c r="A16" s="48" t="s">
        <v>16</v>
      </c>
      <c r="B16" s="40" t="s">
        <v>47</v>
      </c>
      <c r="C16" s="24">
        <f t="shared" ref="C16:F16" si="4"> C14*C15</f>
        <v>289.5306355</v>
      </c>
      <c r="D16" s="24">
        <f t="shared" si="4"/>
        <v>0.004735899414</v>
      </c>
      <c r="E16" s="24">
        <f t="shared" si="4"/>
        <v>0.02926150631</v>
      </c>
      <c r="F16" s="26">
        <f t="shared" si="4"/>
        <v>17.34511896</v>
      </c>
      <c r="H16" s="46"/>
      <c r="I16" s="46"/>
      <c r="J16" s="46"/>
      <c r="K16" s="46"/>
      <c r="L16" s="46"/>
      <c r="M16" s="46"/>
    </row>
    <row r="17">
      <c r="A17" s="48" t="s">
        <v>16</v>
      </c>
      <c r="B17" s="42" t="s">
        <v>48</v>
      </c>
      <c r="C17" s="28">
        <f>Estatisticas_gerais!C22-C16</f>
        <v>1718.62451</v>
      </c>
      <c r="D17" s="28">
        <f>Estatisticas_gerais!D22-D16</f>
        <v>0.03477046429</v>
      </c>
      <c r="E17" s="28">
        <f>Estatisticas_gerais!E22-E16</f>
        <v>0.4498156142</v>
      </c>
      <c r="F17" s="30">
        <f>Estatisticas_gerais!F22-F16</f>
        <v>177.9986694</v>
      </c>
      <c r="H17" s="46"/>
      <c r="I17" s="46"/>
      <c r="J17" s="46"/>
      <c r="K17" s="46"/>
      <c r="L17" s="46"/>
      <c r="M17" s="46"/>
    </row>
    <row r="18">
      <c r="A18" s="48" t="s">
        <v>16</v>
      </c>
      <c r="B18" s="47" t="s">
        <v>49</v>
      </c>
      <c r="C18" s="28">
        <f>Estatisticas_gerais!C22+C16</f>
        <v>2297.685781</v>
      </c>
      <c r="D18" s="28">
        <f>Estatisticas_gerais!D22+D16</f>
        <v>0.04424226312</v>
      </c>
      <c r="E18" s="28">
        <f>Estatisticas_gerais!E22+E16</f>
        <v>0.5083386268</v>
      </c>
      <c r="F18" s="30">
        <f>Estatisticas_gerais!F22+F16</f>
        <v>212.6889073</v>
      </c>
      <c r="H18" s="46"/>
      <c r="I18" s="46"/>
      <c r="J18" s="46"/>
      <c r="K18" s="46"/>
      <c r="L18" s="46"/>
      <c r="M18" s="46"/>
    </row>
    <row r="22">
      <c r="A22" s="8" t="s">
        <v>35</v>
      </c>
      <c r="B22" s="8" t="s">
        <v>50</v>
      </c>
      <c r="C22" s="8" t="s">
        <v>1</v>
      </c>
      <c r="D22" s="8" t="s">
        <v>41</v>
      </c>
      <c r="E22" s="8" t="s">
        <v>42</v>
      </c>
      <c r="F22" s="2" t="s">
        <v>51</v>
      </c>
    </row>
    <row r="23">
      <c r="A23" s="9" t="s">
        <v>16</v>
      </c>
      <c r="B23" s="49" t="s">
        <v>52</v>
      </c>
      <c r="C23" s="11">
        <f>(C18-C17)/Estatisticas_gerais!C22</f>
        <v>0.2883548476</v>
      </c>
      <c r="D23" s="11">
        <f>(D18-D17)/Estatisticas_gerais!D22</f>
        <v>0.2397537495</v>
      </c>
      <c r="E23" s="11">
        <f>(E18-E17)/Estatisticas_gerais!E22</f>
        <v>0.1221578116</v>
      </c>
      <c r="F23" s="11">
        <f>(F18-F17)/Estatisticas_gerais!F22</f>
        <v>0.1775855695</v>
      </c>
    </row>
    <row r="24">
      <c r="A24" s="9" t="s">
        <v>15</v>
      </c>
      <c r="B24" s="49" t="s">
        <v>52</v>
      </c>
      <c r="C24" s="11">
        <f>(C8-C7)/Estatisticas_gerais!C17</f>
        <v>0.2591921118</v>
      </c>
      <c r="D24" s="11">
        <f>(D8-D7)/Estatisticas_gerais!D17</f>
        <v>0.2104782944</v>
      </c>
      <c r="E24" s="11">
        <f>(E8-E7)/Estatisticas_gerais!E17</f>
        <v>0.09808191776</v>
      </c>
      <c r="F24" s="11">
        <f>(F8-F7)/Estatisticas_gerais!F17</f>
        <v>0.1486423835</v>
      </c>
    </row>
    <row r="25">
      <c r="A25" s="50"/>
      <c r="B25" s="51"/>
      <c r="C25" s="52"/>
      <c r="D25" s="52"/>
      <c r="E25" s="52"/>
      <c r="F25" s="52"/>
    </row>
    <row r="26">
      <c r="A26" s="50"/>
      <c r="B26" s="51"/>
      <c r="C26" s="52"/>
      <c r="D26" s="52"/>
      <c r="E26" s="52"/>
      <c r="F26" s="52"/>
    </row>
    <row r="28">
      <c r="A28" s="53"/>
      <c r="B28" s="54"/>
      <c r="C28" s="55"/>
      <c r="D28" s="55"/>
      <c r="E28" s="55"/>
      <c r="F28" s="56"/>
    </row>
    <row r="32">
      <c r="A32" s="46"/>
      <c r="B32" s="46"/>
      <c r="C32" s="46"/>
      <c r="D32" s="46"/>
      <c r="E32" s="46"/>
      <c r="F32" s="46"/>
    </row>
    <row r="33">
      <c r="A33" s="46"/>
      <c r="B33" s="46"/>
      <c r="C33" s="46"/>
      <c r="D33" s="46"/>
      <c r="E33" s="46"/>
      <c r="F33" s="46"/>
    </row>
    <row r="34">
      <c r="A34" s="46"/>
      <c r="B34" s="46"/>
      <c r="C34" s="46"/>
      <c r="D34" s="46"/>
      <c r="E34" s="46"/>
      <c r="F34" s="46"/>
    </row>
    <row r="35">
      <c r="A35" s="46"/>
      <c r="B35" s="46"/>
      <c r="C35" s="46"/>
      <c r="D35" s="46"/>
      <c r="E35" s="46"/>
      <c r="F35" s="46"/>
    </row>
    <row r="36">
      <c r="A36" s="46"/>
      <c r="B36" s="46"/>
      <c r="C36" s="46"/>
      <c r="D36" s="46"/>
      <c r="E36" s="46"/>
      <c r="F36" s="46"/>
    </row>
    <row r="37">
      <c r="A37" s="46"/>
      <c r="B37" s="46"/>
      <c r="C37" s="46"/>
      <c r="D37" s="46"/>
      <c r="E37" s="46"/>
      <c r="F37" s="46"/>
    </row>
    <row r="38">
      <c r="A38" s="46"/>
      <c r="B38" s="46"/>
      <c r="C38" s="46"/>
      <c r="D38" s="46"/>
      <c r="E38" s="46"/>
      <c r="F38" s="46"/>
    </row>
    <row r="39">
      <c r="A39" s="46"/>
      <c r="B39" s="46"/>
      <c r="C39" s="46"/>
      <c r="D39" s="46"/>
      <c r="E39" s="46"/>
      <c r="F39" s="46"/>
    </row>
    <row r="40">
      <c r="A40" s="46"/>
      <c r="B40" s="46"/>
      <c r="C40" s="46"/>
      <c r="D40" s="46"/>
      <c r="E40" s="46"/>
      <c r="F40" s="46"/>
    </row>
  </sheetData>
  <dataValidations>
    <dataValidation type="custom" allowBlank="1" showDropDown="1" sqref="C2:F8 C12:F18 C23:F24">
      <formula1>AND(ISNUMBER(C2),(NOT(OR(NOT(ISERROR(DATEVALUE(C2))), AND(ISNUMBER(C2), LEFT(CELL("format", C2))="D")))))</formula1>
    </dataValidation>
  </dataValidations>
  <drawing r:id="rId1"/>
  <tableParts count="3">
    <tablePart r:id="rId5"/>
    <tablePart r:id="rId6"/>
    <tablePart r:id="rId7"/>
  </tableParts>
</worksheet>
</file>